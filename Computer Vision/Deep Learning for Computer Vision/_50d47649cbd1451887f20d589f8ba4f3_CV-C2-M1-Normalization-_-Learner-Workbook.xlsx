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eye9704_colorado_edu/Documents/2025/Teach/CSCI5722-S25/Lectures/RNN/"/>
    </mc:Choice>
  </mc:AlternateContent>
  <xr:revisionPtr revIDLastSave="68" documentId="8_{B8108157-12CC-9842-A831-10108DC9F830}" xr6:coauthVersionLast="47" xr6:coauthVersionMax="47" xr10:uidLastSave="{D7369745-01CD-4658-B811-2D2E949F569C}"/>
  <bookViews>
    <workbookView xWindow="9780" yWindow="820" windowWidth="36000" windowHeight="27980" xr2:uid="{01FA6312-44DC-F148-9B6E-D00F78E99429}"/>
  </bookViews>
  <sheets>
    <sheet name="Normalization_Blank" sheetId="13" r:id="rId1"/>
  </sheets>
  <definedNames>
    <definedName name="FXY">_xlfn.LAMBDA(_xlpm.f,_xlpm.d, _xlfn.MAKEARRAY(_xlpm.d*2+1,_xlpm.d*2+1,_xlfn.LAMBDA(_xlpm.y,_xlpm.x,_xlpm.f(_xlpm.x-_xlpm.d-1,_xlpm.y-_xlpm.d-1))))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0" i="13" l="1"/>
  <c r="V55" i="13" s="1"/>
  <c r="K79" i="13"/>
  <c r="U55" i="13" s="1"/>
  <c r="K78" i="13"/>
  <c r="T55" i="13" s="1"/>
  <c r="K77" i="13"/>
  <c r="S55" i="13" s="1"/>
  <c r="K60" i="13"/>
  <c r="K59" i="13"/>
  <c r="K58" i="13"/>
  <c r="L57" i="13" a="1"/>
  <c r="L57" i="13" s="1"/>
  <c r="L77" i="13" s="1" a="1"/>
  <c r="L77" i="13" s="1"/>
  <c r="K57" i="13"/>
  <c r="K53" i="13"/>
  <c r="K52" i="13"/>
  <c r="S51" i="13" a="1"/>
  <c r="S51" i="13" s="1"/>
  <c r="K51" i="13"/>
  <c r="K33" i="13"/>
  <c r="V9" i="13" s="1"/>
  <c r="K32" i="13"/>
  <c r="U9" i="13" s="1"/>
  <c r="K31" i="13"/>
  <c r="T9" i="13" s="1"/>
  <c r="K30" i="13"/>
  <c r="S9" i="13" s="1"/>
  <c r="K14" i="13"/>
  <c r="K13" i="13"/>
  <c r="K12" i="13"/>
  <c r="L11" i="13" a="1"/>
  <c r="L11" i="13" s="1"/>
  <c r="L30" i="13" s="1" a="1"/>
  <c r="L30" i="13" s="1"/>
  <c r="K11" i="13"/>
  <c r="K7" i="13"/>
  <c r="K6" i="13"/>
  <c r="S5" i="13" a="1"/>
  <c r="S5" i="13" s="1"/>
  <c r="K5" i="13"/>
  <c r="S11" i="13" l="1" a="1"/>
  <c r="S11" i="13" s="1"/>
  <c r="S57" i="13" a="1"/>
  <c r="S57" i="13" s="1"/>
  <c r="L37" i="13" l="1" a="1"/>
  <c r="L37" i="13" s="1"/>
  <c r="S30" i="13" a="1"/>
  <c r="S30" i="13" s="1"/>
  <c r="S77" i="13" l="1" a="1"/>
  <c r="S77" i="13" s="1"/>
  <c r="L84" i="13" a="1"/>
  <c r="L84" i="13" s="1"/>
  <c r="S37" i="13" a="1"/>
  <c r="S37" i="13" s="1"/>
  <c r="L41" i="13" a="1"/>
  <c r="L41" i="13" s="1"/>
  <c r="S41" i="13" s="1" a="1"/>
  <c r="S41" i="13" s="1"/>
  <c r="S84" i="13" l="1" a="1"/>
  <c r="S84" i="13" s="1"/>
  <c r="L88" i="13" a="1"/>
  <c r="L88" i="13" s="1"/>
  <c r="S88" i="13" s="1" a="1"/>
  <c r="S88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<sst xmlns="http://schemas.openxmlformats.org/spreadsheetml/2006/main" count="86" uniqueCount="30">
  <si>
    <t>Batch Normalization</t>
  </si>
  <si>
    <t>batch</t>
  </si>
  <si>
    <t>{1}</t>
  </si>
  <si>
    <t>{2}</t>
  </si>
  <si>
    <t>{3}</t>
  </si>
  <si>
    <t>x1</t>
  </si>
  <si>
    <t>x2</t>
  </si>
  <si>
    <t>x3</t>
  </si>
  <si>
    <t>dim</t>
  </si>
  <si>
    <t>Linear</t>
  </si>
  <si>
    <t>W</t>
  </si>
  <si>
    <t>b</t>
  </si>
  <si>
    <t>Mean</t>
  </si>
  <si>
    <t>Std</t>
  </si>
  <si>
    <t>h1''</t>
  </si>
  <si>
    <t>h2''</t>
  </si>
  <si>
    <t>h3''</t>
  </si>
  <si>
    <t>h4''</t>
  </si>
  <si>
    <t>Gamma</t>
  </si>
  <si>
    <t>Beta</t>
  </si>
  <si>
    <t>h1'''</t>
  </si>
  <si>
    <t>h2'''</t>
  </si>
  <si>
    <t>h3'''</t>
  </si>
  <si>
    <t>h4'''</t>
  </si>
  <si>
    <t>ReLU</t>
  </si>
  <si>
    <t>h1</t>
  </si>
  <si>
    <t>h2</t>
  </si>
  <si>
    <t>h3</t>
  </si>
  <si>
    <t>Layer Normalization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</si>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</sst>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40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/>
    <xf numFmtId="0" fontId="1" fillId="6" borderId="2">
      <alignment horizont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/>
    <xf numFmtId="0" fontId="0" fillId="0" borderId="0" xfId="0" applyAlignment="1">
      <alignment horizontal="left" shrinkToFit="1"/>
    </xf>
    <xf numFmtId="0" fontId="0" fillId="5" borderId="0" xfId="0" applyFill="1" applyAlignment="1">
      <alignment horizontal="center"/>
    </xf>
    <xf numFmtId="0" fontId="1" fillId="0" borderId="0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Hyper" xfId="2" xr:uid="{C83B9446-5EAC-6047-AEC1-B94AC8DCE5B5}"/>
    <cellStyle name="Node" xfId="1" xr:uid="{3AC8DD0F-7DBA-AE46-941B-508B5BB24C8F}"/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78004</xdr:colOff>
      <xdr:row>3</xdr:row>
      <xdr:rowOff>19317</xdr:rowOff>
    </xdr:from>
    <xdr:to>
      <xdr:col>18</xdr:col>
      <xdr:colOff>319737</xdr:colOff>
      <xdr:row>3</xdr:row>
      <xdr:rowOff>291136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E5E38F1-7960-6740-B599-4FAB2960BFCC}"/>
            </a:ext>
          </a:extLst>
        </xdr:cNvPr>
        <xdr:cNvSpPr/>
      </xdr:nvSpPr>
      <xdr:spPr>
        <a:xfrm>
          <a:off x="6682004" y="957265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3</xdr:row>
      <xdr:rowOff>19317</xdr:rowOff>
    </xdr:from>
    <xdr:to>
      <xdr:col>19</xdr:col>
      <xdr:colOff>319737</xdr:colOff>
      <xdr:row>3</xdr:row>
      <xdr:rowOff>291136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B4AD78E-FB8D-F24A-A6C7-FB6DAC4B5C7B}"/>
            </a:ext>
          </a:extLst>
        </xdr:cNvPr>
        <xdr:cNvSpPr/>
      </xdr:nvSpPr>
      <xdr:spPr>
        <a:xfrm>
          <a:off x="7050304" y="957265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3</xdr:row>
      <xdr:rowOff>19317</xdr:rowOff>
    </xdr:from>
    <xdr:to>
      <xdr:col>20</xdr:col>
      <xdr:colOff>319737</xdr:colOff>
      <xdr:row>3</xdr:row>
      <xdr:rowOff>291136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9D40D8E-4675-3A4D-8F32-6F1CF90607C8}"/>
            </a:ext>
          </a:extLst>
        </xdr:cNvPr>
        <xdr:cNvSpPr/>
      </xdr:nvSpPr>
      <xdr:spPr>
        <a:xfrm>
          <a:off x="7418604" y="957265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9</xdr:row>
      <xdr:rowOff>19317</xdr:rowOff>
    </xdr:from>
    <xdr:to>
      <xdr:col>18</xdr:col>
      <xdr:colOff>319737</xdr:colOff>
      <xdr:row>9</xdr:row>
      <xdr:rowOff>291136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04BE01B-1769-444F-9AF7-5932E0D1C184}"/>
            </a:ext>
          </a:extLst>
        </xdr:cNvPr>
        <xdr:cNvSpPr/>
      </xdr:nvSpPr>
      <xdr:spPr>
        <a:xfrm>
          <a:off x="6682004" y="975553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9</xdr:row>
      <xdr:rowOff>19317</xdr:rowOff>
    </xdr:from>
    <xdr:to>
      <xdr:col>19</xdr:col>
      <xdr:colOff>319737</xdr:colOff>
      <xdr:row>9</xdr:row>
      <xdr:rowOff>291136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28701B7-4FB6-0847-B5BA-A47DD2B4758D}"/>
            </a:ext>
          </a:extLst>
        </xdr:cNvPr>
        <xdr:cNvSpPr/>
      </xdr:nvSpPr>
      <xdr:spPr>
        <a:xfrm>
          <a:off x="7050304" y="975553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9</xdr:row>
      <xdr:rowOff>19317</xdr:rowOff>
    </xdr:from>
    <xdr:to>
      <xdr:col>20</xdr:col>
      <xdr:colOff>319737</xdr:colOff>
      <xdr:row>9</xdr:row>
      <xdr:rowOff>291136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3484F08-FB79-BD47-8FAF-AEFD3C1B498E}"/>
            </a:ext>
          </a:extLst>
        </xdr:cNvPr>
        <xdr:cNvSpPr/>
      </xdr:nvSpPr>
      <xdr:spPr>
        <a:xfrm>
          <a:off x="7418604" y="975553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9</xdr:row>
      <xdr:rowOff>19317</xdr:rowOff>
    </xdr:from>
    <xdr:to>
      <xdr:col>21</xdr:col>
      <xdr:colOff>319737</xdr:colOff>
      <xdr:row>9</xdr:row>
      <xdr:rowOff>291136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D108FE0-B97B-3E42-A8D3-4C614E3BEB39}"/>
            </a:ext>
          </a:extLst>
        </xdr:cNvPr>
        <xdr:cNvSpPr/>
      </xdr:nvSpPr>
      <xdr:spPr>
        <a:xfrm>
          <a:off x="7786904" y="975553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35</xdr:row>
      <xdr:rowOff>19317</xdr:rowOff>
    </xdr:from>
    <xdr:to>
      <xdr:col>19</xdr:col>
      <xdr:colOff>319737</xdr:colOff>
      <xdr:row>35</xdr:row>
      <xdr:rowOff>291136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F3FEFEC-3B66-704C-AD37-9C5B11B092A4}"/>
            </a:ext>
          </a:extLst>
        </xdr:cNvPr>
        <xdr:cNvSpPr/>
      </xdr:nvSpPr>
      <xdr:spPr>
        <a:xfrm>
          <a:off x="7050304" y="105480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35</xdr:row>
      <xdr:rowOff>19317</xdr:rowOff>
    </xdr:from>
    <xdr:to>
      <xdr:col>18</xdr:col>
      <xdr:colOff>319737</xdr:colOff>
      <xdr:row>35</xdr:row>
      <xdr:rowOff>291136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D3F30A8-3B7C-164B-ABED-7E600F95D8BD}"/>
            </a:ext>
          </a:extLst>
        </xdr:cNvPr>
        <xdr:cNvSpPr/>
      </xdr:nvSpPr>
      <xdr:spPr>
        <a:xfrm>
          <a:off x="6682004" y="105480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35</xdr:row>
      <xdr:rowOff>19317</xdr:rowOff>
    </xdr:from>
    <xdr:to>
      <xdr:col>20</xdr:col>
      <xdr:colOff>319737</xdr:colOff>
      <xdr:row>35</xdr:row>
      <xdr:rowOff>291136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E5309D5-03FC-D34A-8DA7-FF8FE46E00B6}"/>
            </a:ext>
          </a:extLst>
        </xdr:cNvPr>
        <xdr:cNvSpPr/>
      </xdr:nvSpPr>
      <xdr:spPr>
        <a:xfrm>
          <a:off x="7418604" y="105480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49</xdr:row>
      <xdr:rowOff>19317</xdr:rowOff>
    </xdr:from>
    <xdr:to>
      <xdr:col>18</xdr:col>
      <xdr:colOff>319737</xdr:colOff>
      <xdr:row>49</xdr:row>
      <xdr:rowOff>291136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FC21D72-9D9D-574D-9340-0329AC01329D}"/>
            </a:ext>
          </a:extLst>
        </xdr:cNvPr>
        <xdr:cNvSpPr/>
      </xdr:nvSpPr>
      <xdr:spPr>
        <a:xfrm>
          <a:off x="6682004" y="1097473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49</xdr:row>
      <xdr:rowOff>19317</xdr:rowOff>
    </xdr:from>
    <xdr:to>
      <xdr:col>19</xdr:col>
      <xdr:colOff>319737</xdr:colOff>
      <xdr:row>49</xdr:row>
      <xdr:rowOff>291136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C508673-408D-5F42-980F-55775781B306}"/>
            </a:ext>
          </a:extLst>
        </xdr:cNvPr>
        <xdr:cNvSpPr/>
      </xdr:nvSpPr>
      <xdr:spPr>
        <a:xfrm>
          <a:off x="7050304" y="1097473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49</xdr:row>
      <xdr:rowOff>19317</xdr:rowOff>
    </xdr:from>
    <xdr:to>
      <xdr:col>20</xdr:col>
      <xdr:colOff>319737</xdr:colOff>
      <xdr:row>49</xdr:row>
      <xdr:rowOff>291136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A6169A7-E212-3148-B243-2DBA787364DD}"/>
            </a:ext>
          </a:extLst>
        </xdr:cNvPr>
        <xdr:cNvSpPr/>
      </xdr:nvSpPr>
      <xdr:spPr>
        <a:xfrm>
          <a:off x="7418604" y="109747317"/>
          <a:ext cx="241733" cy="271819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55</xdr:row>
      <xdr:rowOff>19317</xdr:rowOff>
    </xdr:from>
    <xdr:to>
      <xdr:col>18</xdr:col>
      <xdr:colOff>319737</xdr:colOff>
      <xdr:row>55</xdr:row>
      <xdr:rowOff>291136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C81D3EA-D006-C241-8438-5415E625394B}"/>
            </a:ext>
          </a:extLst>
        </xdr:cNvPr>
        <xdr:cNvSpPr/>
      </xdr:nvSpPr>
      <xdr:spPr>
        <a:xfrm>
          <a:off x="6682004" y="111576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55</xdr:row>
      <xdr:rowOff>19317</xdr:rowOff>
    </xdr:from>
    <xdr:to>
      <xdr:col>19</xdr:col>
      <xdr:colOff>319737</xdr:colOff>
      <xdr:row>55</xdr:row>
      <xdr:rowOff>291136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9A78E15-2DBA-0F48-8DA9-FFB06FB4BF94}"/>
            </a:ext>
          </a:extLst>
        </xdr:cNvPr>
        <xdr:cNvSpPr/>
      </xdr:nvSpPr>
      <xdr:spPr>
        <a:xfrm>
          <a:off x="7050304" y="111576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55</xdr:row>
      <xdr:rowOff>19317</xdr:rowOff>
    </xdr:from>
    <xdr:to>
      <xdr:col>20</xdr:col>
      <xdr:colOff>319737</xdr:colOff>
      <xdr:row>55</xdr:row>
      <xdr:rowOff>291136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FA9E42C-2147-C842-8276-5B415D621E88}"/>
            </a:ext>
          </a:extLst>
        </xdr:cNvPr>
        <xdr:cNvSpPr/>
      </xdr:nvSpPr>
      <xdr:spPr>
        <a:xfrm>
          <a:off x="7418604" y="111576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55</xdr:row>
      <xdr:rowOff>19317</xdr:rowOff>
    </xdr:from>
    <xdr:to>
      <xdr:col>21</xdr:col>
      <xdr:colOff>319737</xdr:colOff>
      <xdr:row>55</xdr:row>
      <xdr:rowOff>291136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5F822C38-19F9-2D42-859C-F894B6F04FDD}"/>
            </a:ext>
          </a:extLst>
        </xdr:cNvPr>
        <xdr:cNvSpPr/>
      </xdr:nvSpPr>
      <xdr:spPr>
        <a:xfrm>
          <a:off x="7786904" y="1115761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78004</xdr:colOff>
      <xdr:row>82</xdr:row>
      <xdr:rowOff>19317</xdr:rowOff>
    </xdr:from>
    <xdr:to>
      <xdr:col>19</xdr:col>
      <xdr:colOff>319737</xdr:colOff>
      <xdr:row>82</xdr:row>
      <xdr:rowOff>291136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E96831E-63C8-8B46-AD4D-C3FD1D9D436E}"/>
            </a:ext>
          </a:extLst>
        </xdr:cNvPr>
        <xdr:cNvSpPr/>
      </xdr:nvSpPr>
      <xdr:spPr>
        <a:xfrm>
          <a:off x="7050304" y="1198057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82</xdr:row>
      <xdr:rowOff>19317</xdr:rowOff>
    </xdr:from>
    <xdr:to>
      <xdr:col>18</xdr:col>
      <xdr:colOff>319737</xdr:colOff>
      <xdr:row>82</xdr:row>
      <xdr:rowOff>291136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1371FF5-5749-5140-84C0-3E37380AC83D}"/>
            </a:ext>
          </a:extLst>
        </xdr:cNvPr>
        <xdr:cNvSpPr/>
      </xdr:nvSpPr>
      <xdr:spPr>
        <a:xfrm>
          <a:off x="6682004" y="1198057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78004</xdr:colOff>
      <xdr:row>82</xdr:row>
      <xdr:rowOff>19317</xdr:rowOff>
    </xdr:from>
    <xdr:to>
      <xdr:col>20</xdr:col>
      <xdr:colOff>319737</xdr:colOff>
      <xdr:row>82</xdr:row>
      <xdr:rowOff>291136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4D84992-2CF4-1F4A-A6FB-AF48C4C1159C}"/>
            </a:ext>
          </a:extLst>
        </xdr:cNvPr>
        <xdr:cNvSpPr/>
      </xdr:nvSpPr>
      <xdr:spPr>
        <a:xfrm>
          <a:off x="7418604" y="119805717"/>
          <a:ext cx="241733" cy="271819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209549</xdr:colOff>
      <xdr:row>14</xdr:row>
      <xdr:rowOff>204787</xdr:rowOff>
    </xdr:from>
    <xdr:to>
      <xdr:col>15</xdr:col>
      <xdr:colOff>90486</xdr:colOff>
      <xdr:row>26</xdr:row>
      <xdr:rowOff>285751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EFA8B96-002A-F546-B856-083D1353DF59}"/>
            </a:ext>
          </a:extLst>
        </xdr:cNvPr>
        <xdr:cNvSpPr/>
      </xdr:nvSpPr>
      <xdr:spPr>
        <a:xfrm>
          <a:off x="209549" y="99264787"/>
          <a:ext cx="5405437" cy="373856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Batch Norm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176213</xdr:colOff>
      <xdr:row>61</xdr:row>
      <xdr:rowOff>257175</xdr:rowOff>
    </xdr:from>
    <xdr:to>
      <xdr:col>15</xdr:col>
      <xdr:colOff>57150</xdr:colOff>
      <xdr:row>74</xdr:row>
      <xdr:rowOff>33339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6BE2B4F0-2E67-B242-B3B5-8AD180F2E0E2}"/>
            </a:ext>
          </a:extLst>
        </xdr:cNvPr>
        <xdr:cNvSpPr/>
      </xdr:nvSpPr>
      <xdr:spPr>
        <a:xfrm>
          <a:off x="176213" y="113642775"/>
          <a:ext cx="5405437" cy="373856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Layer Norm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8F7E-E0BA-3A4F-B0DF-4C3DB1441AE6}">
  <dimension ref="A1:V90"/>
  <sheetViews>
    <sheetView tabSelected="1" topLeftCell="A43" zoomScaleNormal="100" workbookViewId="0">
      <selection activeCell="I35" sqref="I35"/>
    </sheetView>
  </sheetViews>
  <sheetFormatPr defaultColWidth="4.875" defaultRowHeight="24" customHeight="1"/>
  <cols>
    <col min="1" max="7" width="4.875" style="1"/>
    <col min="8" max="10" width="4.875" style="1" customWidth="1"/>
    <col min="11" max="11" width="4.875" style="1"/>
    <col min="12" max="12" width="4.875" style="1" customWidth="1"/>
    <col min="13" max="15" width="4.875" style="1"/>
    <col min="16" max="16" width="4.875" style="1" customWidth="1"/>
    <col min="17" max="17" width="4.5" style="1" customWidth="1"/>
    <col min="18" max="18" width="4.875" style="1"/>
    <col min="19" max="19" width="4.875" style="1" customWidth="1"/>
    <col min="20" max="25" width="4.875" style="1"/>
    <col min="26" max="27" width="4.875" style="1" customWidth="1"/>
    <col min="28" max="28" width="4.875" style="1"/>
    <col min="29" max="29" width="4.875" style="1" customWidth="1"/>
    <col min="30" max="31" width="4.875" style="1"/>
    <col min="32" max="32" width="6" style="1" bestFit="1" customWidth="1"/>
    <col min="33" max="36" width="4.875" style="1"/>
    <col min="37" max="38" width="4.875" style="1" customWidth="1"/>
    <col min="39" max="39" width="4.875" style="1"/>
    <col min="40" max="40" width="4.875" style="1" customWidth="1"/>
    <col min="41" max="51" width="4.875" style="1"/>
    <col min="52" max="53" width="4.875" style="1" customWidth="1"/>
    <col min="54" max="16384" width="4.875" style="1"/>
  </cols>
  <sheetData>
    <row r="1" spans="1:22" s="17" customFormat="1" ht="24" customHeight="1">
      <c r="A1" s="4" t="s">
        <v>0</v>
      </c>
    </row>
    <row r="3" spans="1:22" ht="24" customHeight="1">
      <c r="K3" s="5" t="s">
        <v>1</v>
      </c>
      <c r="L3" s="1" t="s">
        <v>2</v>
      </c>
      <c r="M3" s="1" t="s">
        <v>3</v>
      </c>
      <c r="N3" s="1" t="s">
        <v>4</v>
      </c>
      <c r="S3" s="1" t="s">
        <v>5</v>
      </c>
      <c r="T3" s="1" t="s">
        <v>6</v>
      </c>
      <c r="U3" s="1" t="s">
        <v>7</v>
      </c>
    </row>
    <row r="4" spans="1:22" ht="24" customHeight="1">
      <c r="A4" s="1" t="s">
        <v>8</v>
      </c>
      <c r="S4" s="7"/>
      <c r="T4" s="7"/>
      <c r="U4" s="7"/>
    </row>
    <row r="5" spans="1:22" ht="24" customHeight="1">
      <c r="A5" s="1">
        <v>1</v>
      </c>
      <c r="K5" s="1" t="str">
        <f>"x"&amp;A5</f>
        <v>x1</v>
      </c>
      <c r="L5" s="11">
        <v>1</v>
      </c>
      <c r="M5" s="11">
        <v>2</v>
      </c>
      <c r="N5" s="11">
        <v>3</v>
      </c>
      <c r="R5" s="1" t="s">
        <v>2</v>
      </c>
      <c r="S5" s="9" cm="1">
        <f t="array" ref="S5:U7">TRANSPOSE(L5:N7)</f>
        <v>1</v>
      </c>
      <c r="T5" s="8">
        <v>2</v>
      </c>
      <c r="U5" s="10">
        <v>1</v>
      </c>
    </row>
    <row r="6" spans="1:22" ht="24" customHeight="1">
      <c r="A6" s="1">
        <v>2</v>
      </c>
      <c r="K6" s="1" t="str">
        <f>"x"&amp;A6</f>
        <v>x2</v>
      </c>
      <c r="L6" s="12">
        <v>2</v>
      </c>
      <c r="M6" s="12">
        <v>-1</v>
      </c>
      <c r="N6" s="12">
        <v>4</v>
      </c>
      <c r="R6" s="1" t="s">
        <v>3</v>
      </c>
      <c r="S6" s="9">
        <v>2</v>
      </c>
      <c r="T6" s="8">
        <v>-1</v>
      </c>
      <c r="U6" s="10">
        <v>2</v>
      </c>
    </row>
    <row r="7" spans="1:22" ht="24" customHeight="1">
      <c r="A7" s="1">
        <v>3</v>
      </c>
      <c r="C7" s="3"/>
      <c r="K7" s="1" t="str">
        <f>"x"&amp;A7</f>
        <v>x3</v>
      </c>
      <c r="L7" s="13">
        <v>1</v>
      </c>
      <c r="M7" s="13">
        <v>2</v>
      </c>
      <c r="N7" s="13">
        <v>1</v>
      </c>
      <c r="R7" s="1" t="s">
        <v>4</v>
      </c>
      <c r="S7" s="9">
        <v>3</v>
      </c>
      <c r="T7" s="8">
        <v>4</v>
      </c>
      <c r="U7" s="10">
        <v>1</v>
      </c>
    </row>
    <row r="8" spans="1:22" ht="24" customHeight="1">
      <c r="C8" s="3"/>
      <c r="L8" s="1">
        <v>1</v>
      </c>
      <c r="M8" s="1">
        <v>1</v>
      </c>
      <c r="N8" s="1">
        <v>1</v>
      </c>
    </row>
    <row r="9" spans="1:22" ht="24" customHeight="1">
      <c r="S9" s="1" t="str">
        <f>K30</f>
        <v>h1</v>
      </c>
      <c r="T9" s="1" t="str">
        <f>K31</f>
        <v>h2</v>
      </c>
      <c r="U9" s="1" t="str">
        <f>K32</f>
        <v>h3</v>
      </c>
      <c r="V9" s="1" t="str">
        <f>K33</f>
        <v>h4</v>
      </c>
    </row>
    <row r="10" spans="1:22" ht="24" customHeight="1">
      <c r="C10" s="3" t="s">
        <v>9</v>
      </c>
      <c r="F10" s="1" t="s">
        <v>10</v>
      </c>
      <c r="I10" s="1" t="s">
        <v>11</v>
      </c>
      <c r="S10" s="7"/>
      <c r="T10" s="7"/>
      <c r="U10" s="7"/>
      <c r="V10" s="7"/>
    </row>
    <row r="11" spans="1:22" ht="24" customHeight="1">
      <c r="A11" s="1">
        <v>1</v>
      </c>
      <c r="C11" s="3"/>
      <c r="F11" s="2">
        <v>1</v>
      </c>
      <c r="G11" s="2">
        <v>-3</v>
      </c>
      <c r="H11" s="2">
        <v>1</v>
      </c>
      <c r="I11" s="6">
        <v>2</v>
      </c>
      <c r="K11" s="1" t="str">
        <f>"h"&amp;A11&amp;"'"</f>
        <v>h1'</v>
      </c>
      <c r="L11" s="14" cm="1">
        <f t="array" ref="L11:N14">MMULT(F11:I14,L5:N8)</f>
        <v>-2</v>
      </c>
      <c r="M11" s="14">
        <v>9</v>
      </c>
      <c r="N11" s="14">
        <v>-6</v>
      </c>
      <c r="R11" s="1" t="s">
        <v>2</v>
      </c>
      <c r="S11" s="9" cm="1">
        <f t="array" ref="S11:V13">TRANSPOSE(_xlfn.ANCHORARRAY(L11))</f>
        <v>-2</v>
      </c>
      <c r="T11" s="8">
        <v>-1</v>
      </c>
      <c r="U11" s="8">
        <v>3</v>
      </c>
      <c r="V11" s="10">
        <v>0</v>
      </c>
    </row>
    <row r="12" spans="1:22" ht="24" customHeight="1">
      <c r="A12" s="1">
        <v>2</v>
      </c>
      <c r="C12" s="3"/>
      <c r="F12" s="2">
        <v>2</v>
      </c>
      <c r="G12" s="2">
        <v>-1</v>
      </c>
      <c r="H12" s="2">
        <v>2</v>
      </c>
      <c r="I12" s="6">
        <v>-3</v>
      </c>
      <c r="K12" s="1" t="str">
        <f>"h"&amp;A12&amp;"'"</f>
        <v>h2'</v>
      </c>
      <c r="L12" s="15">
        <v>-1</v>
      </c>
      <c r="M12" s="15">
        <v>6</v>
      </c>
      <c r="N12" s="15">
        <v>1</v>
      </c>
      <c r="R12" s="1" t="s">
        <v>3</v>
      </c>
      <c r="S12" s="9">
        <v>9</v>
      </c>
      <c r="T12" s="8">
        <v>6</v>
      </c>
      <c r="U12" s="8">
        <v>-1</v>
      </c>
      <c r="V12" s="10">
        <v>0</v>
      </c>
    </row>
    <row r="13" spans="1:22" ht="24" customHeight="1">
      <c r="A13" s="1">
        <v>3</v>
      </c>
      <c r="C13" s="3"/>
      <c r="F13" s="2">
        <v>1</v>
      </c>
      <c r="G13" s="2">
        <v>1</v>
      </c>
      <c r="H13" s="2">
        <v>-2</v>
      </c>
      <c r="I13" s="6">
        <v>2</v>
      </c>
      <c r="K13" s="1" t="str">
        <f>"h"&amp;A13&amp;"'"</f>
        <v>h3'</v>
      </c>
      <c r="L13" s="15">
        <v>3</v>
      </c>
      <c r="M13" s="15">
        <v>-1</v>
      </c>
      <c r="N13" s="15">
        <v>7</v>
      </c>
      <c r="R13" s="1" t="s">
        <v>4</v>
      </c>
      <c r="S13" s="9">
        <v>-6</v>
      </c>
      <c r="T13" s="8">
        <v>1</v>
      </c>
      <c r="U13" s="8">
        <v>7</v>
      </c>
      <c r="V13" s="10">
        <v>4</v>
      </c>
    </row>
    <row r="14" spans="1:22" ht="24" customHeight="1">
      <c r="A14" s="1">
        <v>4</v>
      </c>
      <c r="C14" s="3"/>
      <c r="F14" s="2">
        <v>2</v>
      </c>
      <c r="G14" s="2">
        <v>0</v>
      </c>
      <c r="H14" s="2">
        <v>-2</v>
      </c>
      <c r="I14" s="6">
        <v>0</v>
      </c>
      <c r="K14" s="1" t="str">
        <f>"h"&amp;A14&amp;"'"</f>
        <v>h4'</v>
      </c>
      <c r="L14" s="16">
        <v>0</v>
      </c>
      <c r="M14" s="16">
        <v>0</v>
      </c>
      <c r="N14" s="16">
        <v>4</v>
      </c>
    </row>
    <row r="15" spans="1:22" ht="24" customHeight="1">
      <c r="C15" s="3"/>
    </row>
    <row r="16" spans="1:22" ht="24" customHeight="1">
      <c r="C16" s="3"/>
      <c r="G16" s="1" t="s">
        <v>12</v>
      </c>
      <c r="I16" s="1" t="s">
        <v>13</v>
      </c>
    </row>
    <row r="17" spans="1:22" ht="24" customHeight="1">
      <c r="C17" s="3"/>
      <c r="G17" s="14"/>
      <c r="I17" s="14"/>
      <c r="K17" s="1" t="s">
        <v>14</v>
      </c>
      <c r="L17" s="14"/>
      <c r="M17" s="14"/>
      <c r="N17" s="14"/>
    </row>
    <row r="18" spans="1:22" ht="24" customHeight="1">
      <c r="C18" s="3"/>
      <c r="G18" s="15"/>
      <c r="I18" s="15"/>
      <c r="K18" s="1" t="s">
        <v>15</v>
      </c>
      <c r="L18" s="15"/>
      <c r="M18" s="15"/>
      <c r="N18" s="15"/>
    </row>
    <row r="19" spans="1:22" ht="24" customHeight="1">
      <c r="C19" s="3"/>
      <c r="G19" s="15"/>
      <c r="I19" s="15"/>
      <c r="K19" s="1" t="s">
        <v>16</v>
      </c>
      <c r="L19" s="15"/>
      <c r="M19" s="15"/>
      <c r="N19" s="15"/>
    </row>
    <row r="20" spans="1:22" ht="24" customHeight="1">
      <c r="C20" s="3"/>
      <c r="G20" s="16"/>
      <c r="I20" s="16"/>
      <c r="K20" s="1" t="s">
        <v>17</v>
      </c>
      <c r="L20" s="16"/>
      <c r="M20" s="16"/>
      <c r="N20" s="16"/>
    </row>
    <row r="21" spans="1:22" ht="24" customHeight="1">
      <c r="C21" s="3"/>
    </row>
    <row r="22" spans="1:22" ht="24" customHeight="1">
      <c r="C22" s="3"/>
      <c r="G22" s="3" t="s">
        <v>18</v>
      </c>
      <c r="I22" s="1" t="s">
        <v>19</v>
      </c>
    </row>
    <row r="23" spans="1:22" ht="24" customHeight="1">
      <c r="C23" s="3"/>
      <c r="G23" s="2"/>
      <c r="I23" s="2"/>
      <c r="K23" s="1" t="s">
        <v>20</v>
      </c>
      <c r="L23" s="14"/>
      <c r="M23" s="14"/>
      <c r="N23" s="14"/>
    </row>
    <row r="24" spans="1:22" ht="24" customHeight="1">
      <c r="C24" s="3"/>
      <c r="G24" s="2"/>
      <c r="I24" s="2"/>
      <c r="K24" s="1" t="s">
        <v>21</v>
      </c>
      <c r="L24" s="15"/>
      <c r="M24" s="15"/>
      <c r="N24" s="15"/>
    </row>
    <row r="25" spans="1:22" ht="24" customHeight="1">
      <c r="C25" s="3"/>
      <c r="G25" s="2"/>
      <c r="I25" s="2"/>
      <c r="K25" s="1" t="s">
        <v>22</v>
      </c>
      <c r="L25" s="15"/>
      <c r="M25" s="15"/>
      <c r="N25" s="15"/>
    </row>
    <row r="26" spans="1:22" ht="24" customHeight="1">
      <c r="C26" s="3"/>
      <c r="G26" s="2"/>
      <c r="I26" s="2"/>
      <c r="K26" s="1" t="s">
        <v>23</v>
      </c>
      <c r="L26" s="16"/>
      <c r="M26" s="16"/>
      <c r="N26" s="16"/>
    </row>
    <row r="27" spans="1:22" ht="24" customHeight="1">
      <c r="C27" s="3"/>
      <c r="G27"/>
      <c r="H27"/>
      <c r="I27"/>
    </row>
    <row r="28" spans="1:22" ht="24" customHeight="1">
      <c r="C28" s="3"/>
      <c r="G28"/>
      <c r="H28"/>
      <c r="I28"/>
    </row>
    <row r="29" spans="1:22" ht="24" customHeight="1">
      <c r="C29" s="3"/>
    </row>
    <row r="30" spans="1:22" ht="24" customHeight="1">
      <c r="A30" s="1">
        <v>1</v>
      </c>
      <c r="C30" s="3"/>
      <c r="K30" s="1" t="str">
        <f>"h"&amp;A30</f>
        <v>h1</v>
      </c>
      <c r="L30" s="14" cm="1">
        <f t="array" ref="L30:N33">_xlfn.MAP(_xlfn.ANCHORARRAY(L11),_xlfn.LAMBDA(_xlpm.x, MAX(_xlpm.x,0)))</f>
        <v>0</v>
      </c>
      <c r="M30" s="14">
        <v>9</v>
      </c>
      <c r="N30" s="14">
        <v>0</v>
      </c>
      <c r="R30" s="1" t="s">
        <v>2</v>
      </c>
      <c r="S30" s="9" cm="1">
        <f t="array" ref="S30:V32">TRANSPOSE(_xlfn.ANCHORARRAY(L30))</f>
        <v>0</v>
      </c>
      <c r="T30" s="8">
        <v>0</v>
      </c>
      <c r="U30" s="8">
        <v>3</v>
      </c>
      <c r="V30" s="10">
        <v>0</v>
      </c>
    </row>
    <row r="31" spans="1:22" ht="24" customHeight="1">
      <c r="A31" s="1">
        <v>2</v>
      </c>
      <c r="C31" s="3" t="s">
        <v>24</v>
      </c>
      <c r="K31" s="1" t="str">
        <f>"h"&amp;A31</f>
        <v>h2</v>
      </c>
      <c r="L31" s="15">
        <v>0</v>
      </c>
      <c r="M31" s="15">
        <v>6</v>
      </c>
      <c r="N31" s="15">
        <v>1</v>
      </c>
      <c r="R31" s="1" t="s">
        <v>3</v>
      </c>
      <c r="S31" s="9">
        <v>9</v>
      </c>
      <c r="T31" s="8">
        <v>6</v>
      </c>
      <c r="U31" s="8">
        <v>0</v>
      </c>
      <c r="V31" s="10">
        <v>0</v>
      </c>
    </row>
    <row r="32" spans="1:22" ht="24" customHeight="1">
      <c r="A32" s="1">
        <v>3</v>
      </c>
      <c r="C32" s="3"/>
      <c r="K32" s="1" t="str">
        <f>"h"&amp;A32</f>
        <v>h3</v>
      </c>
      <c r="L32" s="15">
        <v>3</v>
      </c>
      <c r="M32" s="15">
        <v>0</v>
      </c>
      <c r="N32" s="15">
        <v>7</v>
      </c>
      <c r="R32" s="1" t="s">
        <v>4</v>
      </c>
      <c r="S32" s="9">
        <v>0</v>
      </c>
      <c r="T32" s="8">
        <v>1</v>
      </c>
      <c r="U32" s="8">
        <v>7</v>
      </c>
      <c r="V32" s="10">
        <v>4</v>
      </c>
    </row>
    <row r="33" spans="1:21" ht="24" customHeight="1">
      <c r="A33" s="1">
        <v>4</v>
      </c>
      <c r="C33" s="3"/>
      <c r="K33" s="1" t="str">
        <f>"h"&amp;A33</f>
        <v>h4</v>
      </c>
      <c r="L33" s="16">
        <v>0</v>
      </c>
      <c r="M33" s="16">
        <v>0</v>
      </c>
      <c r="N33" s="16">
        <v>4</v>
      </c>
    </row>
    <row r="34" spans="1:21" ht="24" customHeight="1">
      <c r="C34" s="3"/>
      <c r="L34" s="1">
        <v>1</v>
      </c>
      <c r="M34" s="1">
        <v>1</v>
      </c>
      <c r="N34" s="1">
        <v>1</v>
      </c>
    </row>
    <row r="35" spans="1:21" ht="24" customHeight="1">
      <c r="A35"/>
      <c r="C35" s="3"/>
      <c r="F35"/>
      <c r="G35"/>
      <c r="H35"/>
      <c r="I35"/>
      <c r="J35"/>
      <c r="K35"/>
      <c r="O35"/>
      <c r="P35"/>
      <c r="Q35"/>
      <c r="S35" s="1" t="s">
        <v>25</v>
      </c>
      <c r="T35" s="1" t="s">
        <v>26</v>
      </c>
      <c r="U35" s="1" t="s">
        <v>27</v>
      </c>
    </row>
    <row r="36" spans="1:21" ht="24" customHeight="1">
      <c r="A36"/>
      <c r="C36" s="3" t="s">
        <v>9</v>
      </c>
      <c r="O36"/>
      <c r="P36"/>
      <c r="Q36"/>
      <c r="S36" s="7"/>
      <c r="T36" s="1" t="s">
        <v>26</v>
      </c>
      <c r="U36" s="1" t="s">
        <v>27</v>
      </c>
    </row>
    <row r="37" spans="1:21" ht="24" customHeight="1">
      <c r="A37" s="1">
        <v>1</v>
      </c>
      <c r="C37" s="3"/>
      <c r="E37" s="2">
        <v>3</v>
      </c>
      <c r="F37" s="2">
        <v>-1</v>
      </c>
      <c r="G37" s="2">
        <v>1</v>
      </c>
      <c r="H37" s="2">
        <v>-2</v>
      </c>
      <c r="I37" s="6">
        <v>2</v>
      </c>
      <c r="J37"/>
      <c r="L37" s="14" cm="1">
        <f t="array" ref="L37:N39">MMULT(E37:I39,L30:N34)</f>
        <v>5</v>
      </c>
      <c r="M37" s="14">
        <v>23</v>
      </c>
      <c r="N37" s="14">
        <v>0</v>
      </c>
      <c r="O37"/>
      <c r="P37"/>
      <c r="R37" s="1" t="s">
        <v>2</v>
      </c>
      <c r="S37" s="9" cm="1">
        <f t="array" ref="S37:U39">TRANSPOSE(L36:N38)</f>
        <v>0</v>
      </c>
      <c r="T37" s="8">
        <v>5</v>
      </c>
      <c r="U37" s="10">
        <v>4</v>
      </c>
    </row>
    <row r="38" spans="1:21" ht="24" customHeight="1">
      <c r="A38" s="1">
        <v>2</v>
      </c>
      <c r="B38"/>
      <c r="C38" s="3"/>
      <c r="E38" s="2">
        <v>2</v>
      </c>
      <c r="F38" s="2">
        <v>0</v>
      </c>
      <c r="G38" s="2">
        <v>1</v>
      </c>
      <c r="H38" s="2">
        <v>2</v>
      </c>
      <c r="I38" s="6">
        <v>1</v>
      </c>
      <c r="J38"/>
      <c r="K38"/>
      <c r="L38" s="15">
        <v>4</v>
      </c>
      <c r="M38" s="15">
        <v>19</v>
      </c>
      <c r="N38" s="15">
        <v>16</v>
      </c>
      <c r="O38"/>
      <c r="P38"/>
      <c r="R38" s="1" t="s">
        <v>3</v>
      </c>
      <c r="S38" s="9">
        <v>0</v>
      </c>
      <c r="T38" s="8">
        <v>23</v>
      </c>
      <c r="U38" s="10">
        <v>19</v>
      </c>
    </row>
    <row r="39" spans="1:21" ht="24" customHeight="1">
      <c r="A39" s="1">
        <v>3</v>
      </c>
      <c r="B39"/>
      <c r="C39" s="3"/>
      <c r="E39" s="2">
        <v>1</v>
      </c>
      <c r="F39" s="2">
        <v>1</v>
      </c>
      <c r="G39" s="2">
        <v>0</v>
      </c>
      <c r="H39" s="2">
        <v>2</v>
      </c>
      <c r="I39" s="6">
        <v>1</v>
      </c>
      <c r="J39"/>
      <c r="K39"/>
      <c r="L39" s="16">
        <v>1</v>
      </c>
      <c r="M39" s="16">
        <v>16</v>
      </c>
      <c r="N39" s="16">
        <v>10</v>
      </c>
      <c r="O39"/>
      <c r="P39"/>
      <c r="R39" s="1" t="s">
        <v>4</v>
      </c>
      <c r="S39" s="9">
        <v>0</v>
      </c>
      <c r="T39" s="8">
        <v>0</v>
      </c>
      <c r="U39" s="10">
        <v>16</v>
      </c>
    </row>
    <row r="40" spans="1:21" ht="24" customHeight="1">
      <c r="A40"/>
      <c r="B40"/>
      <c r="C40" s="3"/>
      <c r="F40"/>
      <c r="G40"/>
      <c r="H40"/>
      <c r="I40"/>
      <c r="J40"/>
      <c r="K40"/>
      <c r="L40"/>
      <c r="M40"/>
      <c r="N40"/>
      <c r="O40"/>
      <c r="P40"/>
      <c r="Q40"/>
    </row>
    <row r="41" spans="1:21" ht="24" customHeight="1">
      <c r="A41" s="1">
        <v>1</v>
      </c>
      <c r="B41"/>
      <c r="C41" s="3" t="s">
        <v>24</v>
      </c>
      <c r="F41"/>
      <c r="G41"/>
      <c r="H41"/>
      <c r="I41"/>
      <c r="J41"/>
      <c r="K41"/>
      <c r="L41" s="14" cm="1">
        <f t="array" ref="L41:N43">_xlfn.MAP(_xlfn.ANCHORARRAY(L37),_xlfn.LAMBDA(_xlpm.x, MAX(_xlpm.x,0)))</f>
        <v>5</v>
      </c>
      <c r="M41" s="14">
        <v>23</v>
      </c>
      <c r="N41" s="14">
        <v>0</v>
      </c>
      <c r="O41"/>
      <c r="P41"/>
      <c r="Q41"/>
      <c r="R41" s="1" t="s">
        <v>2</v>
      </c>
      <c r="S41" s="9" cm="1">
        <f t="array" ref="S41:U43">TRANSPOSE(L40:N42)</f>
        <v>0</v>
      </c>
      <c r="T41" s="8">
        <v>5</v>
      </c>
      <c r="U41" s="10">
        <v>4</v>
      </c>
    </row>
    <row r="42" spans="1:21" ht="24" customHeight="1">
      <c r="A42" s="1">
        <v>2</v>
      </c>
      <c r="B42"/>
      <c r="C42" s="3"/>
      <c r="F42"/>
      <c r="G42"/>
      <c r="H42"/>
      <c r="I42"/>
      <c r="J42"/>
      <c r="K42"/>
      <c r="L42" s="15">
        <v>4</v>
      </c>
      <c r="M42" s="15">
        <v>19</v>
      </c>
      <c r="N42" s="15">
        <v>16</v>
      </c>
      <c r="O42"/>
      <c r="P42"/>
      <c r="Q42"/>
      <c r="R42" s="1" t="s">
        <v>3</v>
      </c>
      <c r="S42" s="9">
        <v>0</v>
      </c>
      <c r="T42" s="8">
        <v>23</v>
      </c>
      <c r="U42" s="10">
        <v>19</v>
      </c>
    </row>
    <row r="43" spans="1:21" ht="24" customHeight="1">
      <c r="A43" s="1">
        <v>3</v>
      </c>
      <c r="B43"/>
      <c r="C43" s="3"/>
      <c r="F43"/>
      <c r="G43"/>
      <c r="H43"/>
      <c r="I43"/>
      <c r="J43"/>
      <c r="K43"/>
      <c r="L43" s="16">
        <v>1</v>
      </c>
      <c r="M43" s="16">
        <v>16</v>
      </c>
      <c r="N43" s="16">
        <v>10</v>
      </c>
      <c r="O43"/>
      <c r="P43"/>
      <c r="Q43"/>
      <c r="R43" s="1" t="s">
        <v>4</v>
      </c>
      <c r="S43" s="9">
        <v>0</v>
      </c>
      <c r="T43" s="8">
        <v>0</v>
      </c>
      <c r="U43" s="10">
        <v>16</v>
      </c>
    </row>
    <row r="47" spans="1:21" s="17" customFormat="1" ht="24" customHeight="1">
      <c r="A47" s="4" t="s">
        <v>28</v>
      </c>
    </row>
    <row r="49" spans="1:22" ht="24" customHeight="1">
      <c r="K49" s="5" t="s">
        <v>1</v>
      </c>
      <c r="L49" s="1" t="s">
        <v>2</v>
      </c>
      <c r="M49" s="1" t="s">
        <v>3</v>
      </c>
      <c r="N49" s="1" t="s">
        <v>4</v>
      </c>
      <c r="S49" s="1" t="s">
        <v>5</v>
      </c>
      <c r="T49" s="1" t="s">
        <v>6</v>
      </c>
      <c r="U49" s="1" t="s">
        <v>7</v>
      </c>
    </row>
    <row r="50" spans="1:22" ht="24" customHeight="1">
      <c r="A50" s="1" t="s">
        <v>8</v>
      </c>
      <c r="S50" s="7"/>
      <c r="T50" s="7"/>
      <c r="U50" s="7"/>
    </row>
    <row r="51" spans="1:22" ht="24" customHeight="1">
      <c r="A51" s="1">
        <v>1</v>
      </c>
      <c r="K51" s="1" t="str">
        <f>"x"&amp;A51</f>
        <v>x1</v>
      </c>
      <c r="L51" s="11">
        <v>1</v>
      </c>
      <c r="M51" s="11">
        <v>2</v>
      </c>
      <c r="N51" s="11">
        <v>3</v>
      </c>
      <c r="R51" s="1" t="s">
        <v>2</v>
      </c>
      <c r="S51" s="9" cm="1">
        <f t="array" ref="S51:U53">TRANSPOSE(L51:N53)</f>
        <v>1</v>
      </c>
      <c r="T51" s="8">
        <v>2</v>
      </c>
      <c r="U51" s="10">
        <v>1</v>
      </c>
    </row>
    <row r="52" spans="1:22" ht="24" customHeight="1">
      <c r="A52" s="1">
        <v>2</v>
      </c>
      <c r="K52" s="1" t="str">
        <f>"x"&amp;A52</f>
        <v>x2</v>
      </c>
      <c r="L52" s="12">
        <v>2</v>
      </c>
      <c r="M52" s="12">
        <v>-1</v>
      </c>
      <c r="N52" s="12">
        <v>4</v>
      </c>
      <c r="R52" s="1" t="s">
        <v>3</v>
      </c>
      <c r="S52" s="9">
        <v>2</v>
      </c>
      <c r="T52" s="8">
        <v>-1</v>
      </c>
      <c r="U52" s="10">
        <v>2</v>
      </c>
    </row>
    <row r="53" spans="1:22" ht="24" customHeight="1">
      <c r="A53" s="1">
        <v>3</v>
      </c>
      <c r="C53" s="3"/>
      <c r="K53" s="1" t="str">
        <f>"x"&amp;A53</f>
        <v>x3</v>
      </c>
      <c r="L53" s="13">
        <v>1</v>
      </c>
      <c r="M53" s="13">
        <v>2</v>
      </c>
      <c r="N53" s="13">
        <v>1</v>
      </c>
      <c r="R53" s="1" t="s">
        <v>4</v>
      </c>
      <c r="S53" s="9">
        <v>3</v>
      </c>
      <c r="T53" s="8">
        <v>4</v>
      </c>
      <c r="U53" s="10">
        <v>1</v>
      </c>
    </row>
    <row r="54" spans="1:22" ht="24" customHeight="1">
      <c r="C54" s="3"/>
      <c r="L54" s="1">
        <v>1</v>
      </c>
      <c r="M54" s="1">
        <v>1</v>
      </c>
      <c r="N54" s="1">
        <v>1</v>
      </c>
    </row>
    <row r="55" spans="1:22" ht="24" customHeight="1">
      <c r="S55" s="1" t="str">
        <f>K77</f>
        <v>h1</v>
      </c>
      <c r="T55" s="1" t="str">
        <f>K78</f>
        <v>h2</v>
      </c>
      <c r="U55" s="1" t="str">
        <f>K79</f>
        <v>h3</v>
      </c>
      <c r="V55" s="1" t="str">
        <f>K80</f>
        <v>h4</v>
      </c>
    </row>
    <row r="56" spans="1:22" ht="24" customHeight="1">
      <c r="C56" s="3" t="s">
        <v>9</v>
      </c>
      <c r="F56" s="1" t="s">
        <v>10</v>
      </c>
      <c r="I56" s="1" t="s">
        <v>11</v>
      </c>
      <c r="S56" s="7"/>
      <c r="T56" s="7"/>
      <c r="U56" s="7"/>
      <c r="V56" s="7"/>
    </row>
    <row r="57" spans="1:22" ht="24" customHeight="1">
      <c r="A57" s="1">
        <v>1</v>
      </c>
      <c r="C57" s="3"/>
      <c r="F57" s="2">
        <v>1</v>
      </c>
      <c r="G57" s="2">
        <v>-3</v>
      </c>
      <c r="H57" s="2">
        <v>1</v>
      </c>
      <c r="I57" s="6">
        <v>2</v>
      </c>
      <c r="K57" s="1" t="str">
        <f>"h"&amp;A57&amp;"'"</f>
        <v>h1'</v>
      </c>
      <c r="L57" s="14" cm="1">
        <f t="array" ref="L57:N60">MMULT(F57:I60,L51:N54)</f>
        <v>-2</v>
      </c>
      <c r="M57" s="14">
        <v>9</v>
      </c>
      <c r="N57" s="14">
        <v>-6</v>
      </c>
      <c r="R57" s="1" t="s">
        <v>2</v>
      </c>
      <c r="S57" s="9" cm="1">
        <f t="array" ref="S57:V59">TRANSPOSE(_xlfn.ANCHORARRAY(L57))</f>
        <v>-2</v>
      </c>
      <c r="T57" s="8">
        <v>-1</v>
      </c>
      <c r="U57" s="8">
        <v>3</v>
      </c>
      <c r="V57" s="10">
        <v>0</v>
      </c>
    </row>
    <row r="58" spans="1:22" ht="24" customHeight="1">
      <c r="A58" s="1">
        <v>2</v>
      </c>
      <c r="C58" s="3"/>
      <c r="F58" s="2">
        <v>2</v>
      </c>
      <c r="G58" s="2">
        <v>-1</v>
      </c>
      <c r="H58" s="2">
        <v>2</v>
      </c>
      <c r="I58" s="6">
        <v>-3</v>
      </c>
      <c r="K58" s="1" t="str">
        <f>"h"&amp;A58&amp;"'"</f>
        <v>h2'</v>
      </c>
      <c r="L58" s="15">
        <v>-1</v>
      </c>
      <c r="M58" s="15">
        <v>6</v>
      </c>
      <c r="N58" s="15">
        <v>1</v>
      </c>
      <c r="R58" s="1" t="s">
        <v>3</v>
      </c>
      <c r="S58" s="9">
        <v>9</v>
      </c>
      <c r="T58" s="8">
        <v>6</v>
      </c>
      <c r="U58" s="8">
        <v>-1</v>
      </c>
      <c r="V58" s="10">
        <v>0</v>
      </c>
    </row>
    <row r="59" spans="1:22" ht="24" customHeight="1">
      <c r="A59" s="1">
        <v>3</v>
      </c>
      <c r="C59" s="3"/>
      <c r="F59" s="2">
        <v>1</v>
      </c>
      <c r="G59" s="2">
        <v>1</v>
      </c>
      <c r="H59" s="2">
        <v>-2</v>
      </c>
      <c r="I59" s="6">
        <v>2</v>
      </c>
      <c r="K59" s="1" t="str">
        <f>"h"&amp;A59&amp;"'"</f>
        <v>h3'</v>
      </c>
      <c r="L59" s="15">
        <v>3</v>
      </c>
      <c r="M59" s="15">
        <v>-1</v>
      </c>
      <c r="N59" s="15">
        <v>7</v>
      </c>
      <c r="R59" s="1" t="s">
        <v>4</v>
      </c>
      <c r="S59" s="9">
        <v>-6</v>
      </c>
      <c r="T59" s="8">
        <v>1</v>
      </c>
      <c r="U59" s="8">
        <v>7</v>
      </c>
      <c r="V59" s="10">
        <v>4</v>
      </c>
    </row>
    <row r="60" spans="1:22" ht="24" customHeight="1">
      <c r="A60" s="1">
        <v>4</v>
      </c>
      <c r="C60" s="3"/>
      <c r="F60" s="2">
        <v>2</v>
      </c>
      <c r="G60" s="2">
        <v>0</v>
      </c>
      <c r="H60" s="2">
        <v>-2</v>
      </c>
      <c r="I60" s="6">
        <v>0</v>
      </c>
      <c r="K60" s="1" t="str">
        <f>"h"&amp;A60&amp;"'"</f>
        <v>h4'</v>
      </c>
      <c r="L60" s="16">
        <v>0</v>
      </c>
      <c r="M60" s="16">
        <v>0</v>
      </c>
      <c r="N60" s="16">
        <v>4</v>
      </c>
    </row>
    <row r="61" spans="1:22" ht="24" customHeight="1">
      <c r="C61" s="3"/>
    </row>
    <row r="62" spans="1:22" ht="24" customHeight="1">
      <c r="C62" s="3"/>
    </row>
    <row r="63" spans="1:22" ht="24" customHeight="1">
      <c r="C63" s="3"/>
    </row>
    <row r="64" spans="1:22" ht="24" customHeight="1">
      <c r="C64" s="3"/>
      <c r="G64" s="1" t="s">
        <v>12</v>
      </c>
      <c r="H64" s="9"/>
      <c r="I64" s="8"/>
      <c r="J64" s="10"/>
      <c r="L64" s="14"/>
      <c r="M64" s="14"/>
      <c r="N64" s="14"/>
      <c r="Q64" s="3"/>
    </row>
    <row r="65" spans="1:22" ht="24" customHeight="1">
      <c r="C65" s="3"/>
      <c r="L65" s="15"/>
      <c r="M65" s="15"/>
      <c r="N65" s="15"/>
      <c r="Q65" s="3"/>
    </row>
    <row r="66" spans="1:22" ht="24" customHeight="1">
      <c r="C66" s="3"/>
      <c r="G66" s="1" t="s">
        <v>29</v>
      </c>
      <c r="H66" s="9"/>
      <c r="I66" s="8"/>
      <c r="J66" s="10"/>
      <c r="L66" s="15"/>
      <c r="M66" s="15"/>
      <c r="N66" s="15"/>
      <c r="Q66" s="3"/>
    </row>
    <row r="67" spans="1:22" ht="24" customHeight="1">
      <c r="C67" s="3"/>
      <c r="L67" s="16"/>
      <c r="M67" s="16"/>
      <c r="N67" s="16"/>
    </row>
    <row r="68" spans="1:22" ht="24" customHeight="1">
      <c r="C68" s="3"/>
    </row>
    <row r="69" spans="1:22" ht="24" customHeight="1">
      <c r="C69" s="3"/>
      <c r="H69" s="3" t="s">
        <v>18</v>
      </c>
      <c r="J69" s="1" t="s">
        <v>19</v>
      </c>
    </row>
    <row r="70" spans="1:22" ht="24" customHeight="1">
      <c r="C70" s="3"/>
      <c r="H70" s="2"/>
      <c r="J70" s="2"/>
      <c r="L70" s="14"/>
      <c r="M70" s="14"/>
      <c r="N70" s="14"/>
    </row>
    <row r="71" spans="1:22" ht="24" customHeight="1">
      <c r="C71" s="3"/>
      <c r="H71" s="2"/>
      <c r="J71" s="2"/>
      <c r="L71" s="15"/>
      <c r="M71" s="15"/>
      <c r="N71" s="15"/>
    </row>
    <row r="72" spans="1:22" ht="24" customHeight="1">
      <c r="C72" s="3"/>
      <c r="H72" s="2"/>
      <c r="J72" s="2"/>
      <c r="L72" s="15"/>
      <c r="M72" s="15"/>
      <c r="N72" s="15"/>
    </row>
    <row r="73" spans="1:22" ht="24" customHeight="1">
      <c r="C73" s="3"/>
      <c r="H73" s="2"/>
      <c r="J73" s="2"/>
      <c r="L73" s="16"/>
      <c r="M73" s="16"/>
      <c r="N73" s="16"/>
    </row>
    <row r="74" spans="1:22" ht="24" customHeight="1">
      <c r="C74" s="3"/>
      <c r="H74"/>
      <c r="I74"/>
      <c r="J74"/>
    </row>
    <row r="75" spans="1:22" ht="24" customHeight="1">
      <c r="C75" s="3"/>
      <c r="H75"/>
      <c r="I75"/>
      <c r="J75"/>
    </row>
    <row r="76" spans="1:22" ht="24" customHeight="1">
      <c r="C76" s="3"/>
    </row>
    <row r="77" spans="1:22" ht="24" customHeight="1">
      <c r="A77" s="1">
        <v>1</v>
      </c>
      <c r="C77" s="3"/>
      <c r="K77" s="1" t="str">
        <f>"h"&amp;A77</f>
        <v>h1</v>
      </c>
      <c r="L77" s="14" cm="1">
        <f t="array" ref="L77:N80">_xlfn.MAP(_xlfn.ANCHORARRAY(L57),_xlfn.LAMBDA(_xlpm.x, MAX(_xlpm.x,0)))</f>
        <v>0</v>
      </c>
      <c r="M77" s="14">
        <v>9</v>
      </c>
      <c r="N77" s="14">
        <v>0</v>
      </c>
      <c r="R77" s="1" t="s">
        <v>2</v>
      </c>
      <c r="S77" s="9" cm="1">
        <f t="array" ref="S77:V79">TRANSPOSE(_xlfn.ANCHORARRAY(L77))</f>
        <v>0</v>
      </c>
      <c r="T77" s="8">
        <v>0</v>
      </c>
      <c r="U77" s="8">
        <v>3</v>
      </c>
      <c r="V77" s="10">
        <v>0</v>
      </c>
    </row>
    <row r="78" spans="1:22" ht="24" customHeight="1">
      <c r="A78" s="1">
        <v>2</v>
      </c>
      <c r="C78" s="3" t="s">
        <v>24</v>
      </c>
      <c r="K78" s="1" t="str">
        <f>"h"&amp;A78</f>
        <v>h2</v>
      </c>
      <c r="L78" s="15">
        <v>0</v>
      </c>
      <c r="M78" s="15">
        <v>6</v>
      </c>
      <c r="N78" s="15">
        <v>1</v>
      </c>
      <c r="R78" s="1" t="s">
        <v>3</v>
      </c>
      <c r="S78" s="9">
        <v>9</v>
      </c>
      <c r="T78" s="8">
        <v>6</v>
      </c>
      <c r="U78" s="8">
        <v>0</v>
      </c>
      <c r="V78" s="10">
        <v>0</v>
      </c>
    </row>
    <row r="79" spans="1:22" ht="24" customHeight="1">
      <c r="A79" s="1">
        <v>3</v>
      </c>
      <c r="C79" s="3"/>
      <c r="K79" s="1" t="str">
        <f>"h"&amp;A79</f>
        <v>h3</v>
      </c>
      <c r="L79" s="15">
        <v>3</v>
      </c>
      <c r="M79" s="15">
        <v>0</v>
      </c>
      <c r="N79" s="15">
        <v>7</v>
      </c>
      <c r="R79" s="1" t="s">
        <v>4</v>
      </c>
      <c r="S79" s="9">
        <v>0</v>
      </c>
      <c r="T79" s="8">
        <v>1</v>
      </c>
      <c r="U79" s="8">
        <v>7</v>
      </c>
      <c r="V79" s="10">
        <v>4</v>
      </c>
    </row>
    <row r="80" spans="1:22" ht="24" customHeight="1">
      <c r="A80" s="1">
        <v>4</v>
      </c>
      <c r="C80" s="3"/>
      <c r="K80" s="1" t="str">
        <f>"h"&amp;A80</f>
        <v>h4</v>
      </c>
      <c r="L80" s="16">
        <v>0</v>
      </c>
      <c r="M80" s="16">
        <v>0</v>
      </c>
      <c r="N80" s="16">
        <v>4</v>
      </c>
    </row>
    <row r="81" spans="1:21" ht="24" customHeight="1">
      <c r="C81" s="3"/>
      <c r="L81" s="1">
        <v>1</v>
      </c>
      <c r="M81" s="1">
        <v>1</v>
      </c>
      <c r="N81" s="1">
        <v>1</v>
      </c>
    </row>
    <row r="82" spans="1:21" ht="24" customHeight="1">
      <c r="A82"/>
      <c r="C82" s="3"/>
      <c r="F82"/>
      <c r="G82"/>
      <c r="H82"/>
      <c r="I82"/>
      <c r="J82"/>
      <c r="K82"/>
      <c r="O82"/>
      <c r="P82"/>
      <c r="Q82"/>
      <c r="S82" s="1" t="s">
        <v>25</v>
      </c>
      <c r="T82" s="1" t="s">
        <v>26</v>
      </c>
      <c r="U82" s="1" t="s">
        <v>27</v>
      </c>
    </row>
    <row r="83" spans="1:21" ht="24" customHeight="1">
      <c r="A83"/>
      <c r="C83" s="3" t="s">
        <v>9</v>
      </c>
      <c r="O83"/>
      <c r="P83"/>
      <c r="Q83"/>
      <c r="S83" s="7"/>
      <c r="T83" s="1" t="s">
        <v>26</v>
      </c>
      <c r="U83" s="1" t="s">
        <v>27</v>
      </c>
    </row>
    <row r="84" spans="1:21" ht="24" customHeight="1">
      <c r="A84" s="1">
        <v>1</v>
      </c>
      <c r="C84" s="3"/>
      <c r="E84" s="2">
        <v>3</v>
      </c>
      <c r="F84" s="2">
        <v>-1</v>
      </c>
      <c r="G84" s="2">
        <v>1</v>
      </c>
      <c r="H84" s="2">
        <v>-2</v>
      </c>
      <c r="I84" s="6">
        <v>2</v>
      </c>
      <c r="J84"/>
      <c r="L84" s="14" cm="1">
        <f t="array" ref="L84:N86">MMULT(E84:I86,L77:N81)</f>
        <v>5</v>
      </c>
      <c r="M84" s="14">
        <v>23</v>
      </c>
      <c r="N84" s="14">
        <v>0</v>
      </c>
      <c r="O84"/>
      <c r="P84"/>
      <c r="R84" s="1" t="s">
        <v>2</v>
      </c>
      <c r="S84" s="9" cm="1">
        <f t="array" ref="S84:U86">TRANSPOSE(L83:N85)</f>
        <v>0</v>
      </c>
      <c r="T84" s="8">
        <v>5</v>
      </c>
      <c r="U84" s="10">
        <v>4</v>
      </c>
    </row>
    <row r="85" spans="1:21" ht="24" customHeight="1">
      <c r="A85" s="1">
        <v>2</v>
      </c>
      <c r="B85"/>
      <c r="C85" s="3"/>
      <c r="E85" s="2">
        <v>2</v>
      </c>
      <c r="F85" s="2">
        <v>0</v>
      </c>
      <c r="G85" s="2">
        <v>1</v>
      </c>
      <c r="H85" s="2">
        <v>2</v>
      </c>
      <c r="I85" s="6">
        <v>1</v>
      </c>
      <c r="J85"/>
      <c r="K85"/>
      <c r="L85" s="15">
        <v>4</v>
      </c>
      <c r="M85" s="15">
        <v>19</v>
      </c>
      <c r="N85" s="15">
        <v>16</v>
      </c>
      <c r="O85"/>
      <c r="P85"/>
      <c r="R85" s="1" t="s">
        <v>3</v>
      </c>
      <c r="S85" s="9">
        <v>0</v>
      </c>
      <c r="T85" s="8">
        <v>23</v>
      </c>
      <c r="U85" s="10">
        <v>19</v>
      </c>
    </row>
    <row r="86" spans="1:21" ht="24" customHeight="1">
      <c r="A86" s="1">
        <v>3</v>
      </c>
      <c r="B86"/>
      <c r="C86" s="3"/>
      <c r="E86" s="2">
        <v>1</v>
      </c>
      <c r="F86" s="2">
        <v>1</v>
      </c>
      <c r="G86" s="2">
        <v>0</v>
      </c>
      <c r="H86" s="2">
        <v>2</v>
      </c>
      <c r="I86" s="6">
        <v>1</v>
      </c>
      <c r="J86"/>
      <c r="K86"/>
      <c r="L86" s="16">
        <v>1</v>
      </c>
      <c r="M86" s="16">
        <v>16</v>
      </c>
      <c r="N86" s="16">
        <v>10</v>
      </c>
      <c r="O86"/>
      <c r="P86"/>
      <c r="R86" s="1" t="s">
        <v>4</v>
      </c>
      <c r="S86" s="9">
        <v>0</v>
      </c>
      <c r="T86" s="8">
        <v>0</v>
      </c>
      <c r="U86" s="10">
        <v>16</v>
      </c>
    </row>
    <row r="87" spans="1:21" ht="24" customHeight="1">
      <c r="A87"/>
      <c r="B87"/>
      <c r="C87" s="3"/>
      <c r="F87"/>
      <c r="G87"/>
      <c r="H87"/>
      <c r="I87"/>
      <c r="J87"/>
      <c r="K87"/>
      <c r="L87"/>
      <c r="M87"/>
      <c r="N87"/>
      <c r="O87"/>
      <c r="P87"/>
      <c r="Q87"/>
    </row>
    <row r="88" spans="1:21" ht="24" customHeight="1">
      <c r="A88" s="1">
        <v>1</v>
      </c>
      <c r="B88"/>
      <c r="C88" s="3" t="s">
        <v>24</v>
      </c>
      <c r="F88"/>
      <c r="G88"/>
      <c r="H88"/>
      <c r="I88"/>
      <c r="J88"/>
      <c r="K88"/>
      <c r="L88" s="14" cm="1">
        <f t="array" ref="L88:N90">_xlfn.MAP(_xlfn.ANCHORARRAY(L84),_xlfn.LAMBDA(_xlpm.x, MAX(_xlpm.x,0)))</f>
        <v>5</v>
      </c>
      <c r="M88" s="14">
        <v>23</v>
      </c>
      <c r="N88" s="14">
        <v>0</v>
      </c>
      <c r="O88"/>
      <c r="P88"/>
      <c r="Q88"/>
      <c r="R88" s="1" t="s">
        <v>2</v>
      </c>
      <c r="S88" s="9" cm="1">
        <f t="array" ref="S88:U90">TRANSPOSE(L87:N89)</f>
        <v>0</v>
      </c>
      <c r="T88" s="8">
        <v>5</v>
      </c>
      <c r="U88" s="10">
        <v>4</v>
      </c>
    </row>
    <row r="89" spans="1:21" ht="24" customHeight="1">
      <c r="A89" s="1">
        <v>2</v>
      </c>
      <c r="B89"/>
      <c r="C89" s="3"/>
      <c r="F89"/>
      <c r="G89"/>
      <c r="H89"/>
      <c r="I89"/>
      <c r="J89"/>
      <c r="K89"/>
      <c r="L89" s="15">
        <v>4</v>
      </c>
      <c r="M89" s="15">
        <v>19</v>
      </c>
      <c r="N89" s="15">
        <v>16</v>
      </c>
      <c r="O89"/>
      <c r="P89"/>
      <c r="Q89"/>
      <c r="R89" s="1" t="s">
        <v>3</v>
      </c>
      <c r="S89" s="9">
        <v>0</v>
      </c>
      <c r="T89" s="8">
        <v>23</v>
      </c>
      <c r="U89" s="10">
        <v>19</v>
      </c>
    </row>
    <row r="90" spans="1:21" ht="24" customHeight="1">
      <c r="A90" s="1">
        <v>3</v>
      </c>
      <c r="B90"/>
      <c r="C90" s="3"/>
      <c r="F90"/>
      <c r="G90"/>
      <c r="H90"/>
      <c r="I90"/>
      <c r="J90"/>
      <c r="K90"/>
      <c r="L90" s="16">
        <v>1</v>
      </c>
      <c r="M90" s="16">
        <v>16</v>
      </c>
      <c r="N90" s="16">
        <v>10</v>
      </c>
      <c r="O90"/>
      <c r="P90"/>
      <c r="Q90"/>
      <c r="R90" s="1" t="s">
        <v>4</v>
      </c>
      <c r="S90" s="9">
        <v>0</v>
      </c>
      <c r="T90" s="8">
        <v>0</v>
      </c>
      <c r="U90" s="10">
        <v>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339653-0c01-4318-ae97-7b543795deb4" xsi:nil="true"/>
    <LikesCount xmlns="http://schemas.microsoft.com/sharepoint/v3" xsi:nil="true"/>
    <Instructor xmlns="808fd839-170a-44a4-85e4-5aff044f8a2d" xsi:nil="true"/>
    <Ratings xmlns="http://schemas.microsoft.com/sharepoint/v3" xsi:nil="true"/>
    <lcf76f155ced4ddcb4097134ff3c332f xmlns="808fd839-170a-44a4-85e4-5aff044f8a2d">
      <Terms xmlns="http://schemas.microsoft.com/office/infopath/2007/PartnerControls"/>
    </lcf76f155ced4ddcb4097134ff3c332f>
    <LikedBy xmlns="http://schemas.microsoft.com/sharepoint/v3">
      <UserInfo>
        <DisplayName/>
        <AccountId xsi:nil="true"/>
        <AccountType/>
      </UserInfo>
    </LikedBy>
    <Program_x0020_Affiliation xmlns="808fd839-170a-44a4-85e4-5aff044f8a2d">MS-EE</Program_x0020_Affiliation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1C97D5F27A942A6ECCDFB95DF13FE" ma:contentTypeVersion="26" ma:contentTypeDescription="Create a new document." ma:contentTypeScope="" ma:versionID="9e6a3a7b4fb9f8f917417f476f40303e">
  <xsd:schema xmlns:xsd="http://www.w3.org/2001/XMLSchema" xmlns:xs="http://www.w3.org/2001/XMLSchema" xmlns:p="http://schemas.microsoft.com/office/2006/metadata/properties" xmlns:ns1="http://schemas.microsoft.com/sharepoint/v3" xmlns:ns2="808fd839-170a-44a4-85e4-5aff044f8a2d" xmlns:ns3="9f339653-0c01-4318-ae97-7b543795deb4" targetNamespace="http://schemas.microsoft.com/office/2006/metadata/properties" ma:root="true" ma:fieldsID="870ad7e9e8b8d606b6943cd501d3d7d1" ns1:_="" ns2:_="" ns3:_="">
    <xsd:import namespace="http://schemas.microsoft.com/sharepoint/v3"/>
    <xsd:import namespace="808fd839-170a-44a4-85e4-5aff044f8a2d"/>
    <xsd:import namespace="9f339653-0c01-4318-ae97-7b543795de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nstructor" minOccurs="0"/>
                <xsd:element ref="ns2:Program_x0020_Affilia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5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26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27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8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29" nillable="true" ma:displayName="Number of Likes" ma:internalName="LikesCount">
      <xsd:simpleType>
        <xsd:restriction base="dms:Unknown"/>
      </xsd:simpleType>
    </xsd:element>
    <xsd:element name="LikedBy" ma:index="30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fd839-170a-44a4-85e4-5aff044f8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Instructor" ma:index="10" nillable="true" ma:displayName="Instructor" ma:format="Dropdown" ma:internalName="Instructor">
      <xsd:simpleType>
        <xsd:restriction base="dms:Text">
          <xsd:maxLength value="255"/>
        </xsd:restriction>
      </xsd:simpleType>
    </xsd:element>
    <xsd:element name="Program_x0020_Affiliation" ma:index="11" nillable="true" ma:displayName="Program Affiliation" ma:default="MS-EE" ma:format="Dropdown" ma:internalName="Program_x0020_Affiliation">
      <xsd:simpleType>
        <xsd:restriction base="dms:Choice">
          <xsd:enumeration value="MS-EE"/>
          <xsd:enumeration value="MS-DS"/>
          <xsd:enumeration value="ME-EM"/>
          <xsd:enumeration value="Non-Credit"/>
          <xsd:enumeration value="MS-CS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39653-0c01-4318-ae97-7b543795de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f0b387-c937-4d03-a801-ab4615f1d031}" ma:internalName="TaxCatchAll" ma:showField="CatchAllData" ma:web="9f339653-0c01-4318-ae97-7b543795de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32A60-55B4-449E-BD6C-E5B58BC0B5D9}"/>
</file>

<file path=customXml/itemProps2.xml><?xml version="1.0" encoding="utf-8"?>
<ds:datastoreItem xmlns:ds="http://schemas.openxmlformats.org/officeDocument/2006/customXml" ds:itemID="{6BD07248-38CD-476A-97B7-A425F3CD5D22}"/>
</file>

<file path=customXml/itemProps3.xml><?xml version="1.0" encoding="utf-8"?>
<ds:datastoreItem xmlns:ds="http://schemas.openxmlformats.org/officeDocument/2006/customXml" ds:itemID="{6D4F7A5C-EF87-4A2C-8CF6-BF4BCBECD747}"/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>Kayla Jane Kohake</cp:lastModifiedBy>
  <cp:revision/>
  <dcterms:created xsi:type="dcterms:W3CDTF">2025-02-06T19:50:07Z</dcterms:created>
  <dcterms:modified xsi:type="dcterms:W3CDTF">2025-07-28T19:06:02Z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0x01010055D1C97D5F27A942A6ECCDFB95DF13FE</vt:lpwstr>
  </property>
  <property fmtid="{D5CDD505-2E9C-101B-9397-08002B2CF9AE}" pid="3" name="MediaServiceImageTags">
    <vt:lpwstr/>
  </property>
</Properties>
</file>