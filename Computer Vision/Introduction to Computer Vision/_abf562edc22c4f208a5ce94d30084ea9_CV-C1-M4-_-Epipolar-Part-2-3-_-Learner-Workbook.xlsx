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eye9704_colorado_edu/Documents/2025/Teach/CSCI5722-S25/Lectures/Epipolar/"/>
    </mc:Choice>
  </mc:AlternateContent>
  <xr:revisionPtr revIDLastSave="1" documentId="8_{5B725253-9747-7F4F-A4A9-7399DB084815}" xr6:coauthVersionLast="47" xr6:coauthVersionMax="47" xr10:uidLastSave="{A5266DC7-A012-4C73-BF79-739CE358096B}"/>
  <bookViews>
    <workbookView xWindow="13040" yWindow="500" windowWidth="30480" windowHeight="28300" xr2:uid="{E62251F0-4B81-3243-9C90-8551985D3DD0}"/>
  </bookViews>
  <sheets>
    <sheet name="epipolar_blank" sheetId="9" r:id="rId1"/>
  </sheets>
  <definedNames>
    <definedName name="OL" localSheetId="0">epipolar_blank!$H$45:$H$47</definedName>
    <definedName name="OL">#REF!</definedName>
    <definedName name="OR" localSheetId="0">epipolar_blank!$AA$45:$AA$47</definedName>
    <definedName name="O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9" l="1" a="1"/>
  <c r="Q45" i="9" s="1"/>
  <c r="D50" i="9" a="1"/>
  <c r="D50" i="9" s="1"/>
  <c r="I50" i="9" s="1"/>
  <c r="W50" i="9" a="1"/>
  <c r="W50" i="9" s="1"/>
  <c r="I51" i="9"/>
  <c r="I52" i="9"/>
  <c r="D57" i="9"/>
  <c r="H56" i="9" s="1"/>
  <c r="W57" i="9"/>
  <c r="AA56" i="9" s="1"/>
  <c r="F58" i="9"/>
  <c r="H58" i="9"/>
  <c r="Y58" i="9"/>
  <c r="D63" i="9"/>
  <c r="G62" i="9" s="1"/>
  <c r="F63" i="9"/>
  <c r="W63" i="9"/>
  <c r="Z62" i="9" s="1"/>
  <c r="Y63" i="9"/>
  <c r="Z63" i="9"/>
  <c r="D69" i="9"/>
  <c r="G69" i="9"/>
  <c r="H69" i="9"/>
  <c r="W69" i="9"/>
  <c r="Z69" i="9" s="1"/>
  <c r="Y352" i="9" a="1"/>
  <c r="Y352" i="9" s="1"/>
  <c r="J359" i="9" a="1"/>
  <c r="J359" i="9" s="1"/>
  <c r="J281" i="9"/>
  <c r="J282" i="9" s="1"/>
  <c r="N283" i="9" s="1"/>
  <c r="J287" i="9"/>
  <c r="J288" i="9" s="1"/>
  <c r="M288" i="9" s="1"/>
  <c r="J293" i="9"/>
  <c r="J294" i="9" s="1"/>
  <c r="N295" i="9" s="1"/>
  <c r="J311" i="9"/>
  <c r="J312" i="9" s="1"/>
  <c r="N313" i="9" s="1"/>
  <c r="J305" i="9"/>
  <c r="J306" i="9" s="1"/>
  <c r="M306" i="9" s="1"/>
  <c r="J299" i="9"/>
  <c r="J300" i="9" s="1"/>
  <c r="N301" i="9" s="1"/>
  <c r="N267" i="9" a="1"/>
  <c r="N267" i="9" s="1"/>
  <c r="M267" i="9" a="1"/>
  <c r="M267" i="9" s="1"/>
  <c r="AG203" i="9"/>
  <c r="AF203" i="9"/>
  <c r="AE203" i="9"/>
  <c r="AD203" i="9"/>
  <c r="AA203" i="9"/>
  <c r="Z203" i="9"/>
  <c r="Y203" i="9"/>
  <c r="X203" i="9"/>
  <c r="T203" i="9"/>
  <c r="S203" i="9"/>
  <c r="R203" i="9"/>
  <c r="Q203" i="9"/>
  <c r="L171" i="9" a="1"/>
  <c r="L171" i="9" s="1"/>
  <c r="U159" i="9" a="1"/>
  <c r="U159" i="9" s="1"/>
  <c r="D137" i="9"/>
  <c r="D138" i="9" s="1"/>
  <c r="D131" i="9"/>
  <c r="D132" i="9" s="1"/>
  <c r="D125" i="9"/>
  <c r="D126" i="9" s="1"/>
  <c r="H118" i="9" a="1"/>
  <c r="H118" i="9" s="1"/>
  <c r="I114" i="9"/>
  <c r="H113" i="9"/>
  <c r="N108" i="9" a="1"/>
  <c r="N108" i="9" s="1"/>
  <c r="T102" i="9"/>
  <c r="S102" i="9"/>
  <c r="R102" i="9"/>
  <c r="Q102" i="9"/>
  <c r="AB52" i="9"/>
  <c r="AJ45" i="9" a="1"/>
  <c r="AJ45" i="9" s="1"/>
  <c r="I14" i="9" a="1"/>
  <c r="I14" i="9" s="1"/>
  <c r="I11" i="9" a="1"/>
  <c r="I11" i="9" s="1"/>
  <c r="I8" i="9" a="1"/>
  <c r="I8" i="9" s="1"/>
  <c r="G63" i="9" l="1"/>
  <c r="AA70" i="9"/>
  <c r="AA69" i="9"/>
  <c r="F62" i="9"/>
  <c r="F56" i="9"/>
  <c r="AA58" i="9"/>
  <c r="K56" i="9" a="1"/>
  <c r="K56" i="9" s="1"/>
  <c r="K62" i="9" s="1" a="1"/>
  <c r="K62" i="9" s="1"/>
  <c r="K68" i="9" s="1" a="1"/>
  <c r="K68" i="9" s="1"/>
  <c r="Q68" i="9" s="1" a="1"/>
  <c r="Q68" i="9" s="1"/>
  <c r="Y62" i="9"/>
  <c r="Y56" i="9"/>
  <c r="L287" i="9"/>
  <c r="M287" i="9"/>
  <c r="L299" i="9"/>
  <c r="L301" i="9"/>
  <c r="N299" i="9"/>
  <c r="L305" i="9"/>
  <c r="M282" i="9"/>
  <c r="N282" i="9"/>
  <c r="M283" i="9"/>
  <c r="M305" i="9"/>
  <c r="L113" i="9" a="1"/>
  <c r="L113" i="9" s="1"/>
  <c r="L288" i="9"/>
  <c r="N293" i="9"/>
  <c r="L295" i="9"/>
  <c r="L293" i="9"/>
  <c r="L306" i="9"/>
  <c r="M312" i="9"/>
  <c r="N312" i="9"/>
  <c r="M313" i="9"/>
  <c r="Q158" i="9" a="1"/>
  <c r="Q158" i="9" s="1"/>
  <c r="Z70" i="9"/>
  <c r="G70" i="9"/>
  <c r="H70" i="9"/>
  <c r="F131" i="9"/>
  <c r="G131" i="9"/>
  <c r="L227" i="9" a="1"/>
  <c r="L227" i="9" s="1"/>
  <c r="D143" i="9" a="1"/>
  <c r="H127" i="9"/>
  <c r="G127" i="9"/>
  <c r="H126" i="9"/>
  <c r="G126" i="9"/>
  <c r="F139" i="9"/>
  <c r="F137" i="9"/>
  <c r="H139" i="9"/>
  <c r="H137" i="9"/>
  <c r="F132" i="9"/>
  <c r="AB51" i="9"/>
  <c r="AB50" i="9"/>
  <c r="G132" i="9"/>
  <c r="L209" i="9" l="1" a="1"/>
  <c r="L209" i="9" s="1"/>
  <c r="L118" i="9" a="1"/>
  <c r="L118" i="9" s="1"/>
  <c r="P287" i="9" a="1"/>
  <c r="P287" i="9" s="1"/>
  <c r="P293" i="9" s="1" a="1"/>
  <c r="P293" i="9" s="1"/>
  <c r="P299" i="9" s="1" a="1"/>
  <c r="P299" i="9" s="1"/>
  <c r="P305" i="9" s="1" a="1"/>
  <c r="P305" i="9" s="1"/>
  <c r="P311" i="9" s="1" a="1"/>
  <c r="P311" i="9" s="1"/>
  <c r="AD56" i="9" a="1"/>
  <c r="AD56" i="9" s="1"/>
  <c r="AD62" i="9" s="1" a="1"/>
  <c r="AD62" i="9" s="1"/>
  <c r="AD68" i="9" s="1" a="1"/>
  <c r="AD68" i="9" s="1"/>
  <c r="K165" i="9" s="1" a="1"/>
  <c r="K165" i="9" s="1"/>
  <c r="K131" i="9" a="1"/>
  <c r="K131" i="9" s="1"/>
  <c r="K137" i="9" s="1" a="1"/>
  <c r="K137" i="9" s="1"/>
  <c r="G273" i="9" a="1"/>
  <c r="G273" i="9" s="1"/>
  <c r="M273" i="9" s="1" a="1"/>
  <c r="I145" i="9"/>
  <c r="I144" i="9"/>
  <c r="D143" i="9"/>
  <c r="I143" i="9" s="1"/>
  <c r="N320" i="9" l="1" a="1"/>
  <c r="N320" i="9" s="1"/>
  <c r="T256" i="9" a="1"/>
  <c r="T256" i="9" s="1"/>
  <c r="M273" i="9"/>
  <c r="N256" i="9" a="1"/>
  <c r="N256" i="9" s="1"/>
  <c r="AJ68" i="9" a="1"/>
  <c r="AJ68" i="9" s="1"/>
  <c r="AJ74" i="9" s="1" a="1"/>
  <c r="AJ74" i="9" s="1"/>
  <c r="AJ79" i="9" s="1" a="1"/>
  <c r="AJ79" i="9" s="1"/>
  <c r="K143" i="9" a="1"/>
  <c r="K143" i="9" s="1"/>
  <c r="K215" i="9" s="1" a="1"/>
  <c r="K215" i="9" s="1"/>
  <c r="K221" i="9" a="1"/>
  <c r="K221" i="9" s="1"/>
  <c r="F149" i="9" a="1"/>
  <c r="F149" i="9" s="1"/>
  <c r="T320" i="9" l="1" a="1"/>
  <c r="T320" i="9" s="1"/>
  <c r="P322" i="9"/>
  <c r="P321" i="9"/>
  <c r="Q320" i="9"/>
  <c r="R320" i="9"/>
  <c r="Q74" i="9" a="1"/>
  <c r="Q74" i="9" s="1"/>
  <c r="Q79" i="9" s="1" a="1"/>
  <c r="AD200" i="9" s="1" a="1"/>
  <c r="AD200" i="9" s="1"/>
  <c r="K149" i="9" a="1"/>
  <c r="K149" i="9" s="1"/>
  <c r="Q322" i="9" l="1"/>
  <c r="R321" i="9"/>
  <c r="Q79" i="9"/>
  <c r="Q99" i="9" s="1" a="1"/>
  <c r="Q99" i="9" s="1"/>
  <c r="X200" i="9" a="1"/>
  <c r="X200" i="9" s="1"/>
  <c r="Y200" i="9" s="1" a="1"/>
  <c r="Y200" i="9" s="1"/>
  <c r="Z200" i="9" s="1" a="1"/>
  <c r="Z200" i="9" s="1"/>
  <c r="AA200" i="9" s="1" a="1"/>
  <c r="AA200" i="9" s="1"/>
  <c r="P258" i="9"/>
  <c r="Q256" i="9"/>
  <c r="P257" i="9"/>
  <c r="R256" i="9"/>
  <c r="AE200" i="9" a="1"/>
  <c r="AE200" i="9" s="1"/>
  <c r="AF200" i="9" s="1" a="1"/>
  <c r="AF200" i="9" s="1"/>
  <c r="AG200" i="9" s="1" a="1"/>
  <c r="AG200" i="9" s="1"/>
  <c r="T332" i="9" l="1" a="1"/>
  <c r="T332" i="9" s="1"/>
  <c r="T359" i="9" s="1" a="1"/>
  <c r="T359" i="9" s="1"/>
  <c r="Q200" i="9" a="1"/>
  <c r="Q200" i="9" s="1"/>
  <c r="R200" i="9" s="1" a="1"/>
  <c r="R200" i="9" s="1"/>
  <c r="R257" i="9"/>
  <c r="Q258" i="9"/>
  <c r="R99" i="9" a="1"/>
  <c r="R99" i="9" s="1"/>
  <c r="S99" i="9" s="1" a="1"/>
  <c r="S99" i="9" s="1"/>
  <c r="T99" i="9" s="1" a="1"/>
  <c r="T99" i="9" s="1"/>
  <c r="X204" i="9" a="1"/>
  <c r="X204" i="9" s="1"/>
  <c r="X209" i="9" s="1" a="1"/>
  <c r="X209" i="9" s="1"/>
  <c r="X215" i="9" s="1" a="1"/>
  <c r="X215" i="9" s="1"/>
  <c r="X221" i="9" s="1" a="1"/>
  <c r="X221" i="9" s="1"/>
  <c r="X227" i="9" s="1" a="1"/>
  <c r="X227" i="9" s="1"/>
  <c r="X232" i="9" s="1" a="1"/>
  <c r="X232" i="9" s="1"/>
  <c r="AD204" i="9" a="1"/>
  <c r="AD204" i="9" s="1"/>
  <c r="AD209" i="9" s="1" a="1"/>
  <c r="AD209" i="9" s="1"/>
  <c r="AD215" i="9" s="1" a="1"/>
  <c r="AD215" i="9" s="1"/>
  <c r="AD221" i="9" s="1" a="1"/>
  <c r="AD221" i="9" s="1"/>
  <c r="AD227" i="9" s="1" a="1"/>
  <c r="AD227" i="9" s="1"/>
  <c r="AD232" i="9" s="1" a="1"/>
  <c r="AD232" i="9" s="1"/>
  <c r="T374" i="9" l="1" a="1"/>
  <c r="T374" i="9" s="1"/>
  <c r="Y374" i="9" s="1" a="1"/>
  <c r="Y374" i="9" s="1"/>
  <c r="S200" i="9" a="1"/>
  <c r="S200" i="9" s="1"/>
  <c r="T200" i="9" s="1" a="1"/>
  <c r="T200" i="9" s="1"/>
  <c r="Q204" i="9" s="1" a="1"/>
  <c r="Q204" i="9" s="1"/>
  <c r="Q209" i="9" s="1" a="1"/>
  <c r="D365" i="9" s="1" a="1"/>
  <c r="D365" i="9" s="1"/>
  <c r="J365" i="9" s="1" a="1"/>
  <c r="J365" i="9" s="1"/>
  <c r="Q103" i="9" a="1"/>
  <c r="Q103" i="9" s="1"/>
  <c r="Q113" i="9" s="1" a="1"/>
  <c r="Q113" i="9" s="1"/>
  <c r="Q143" i="9" s="1" a="1"/>
  <c r="Q143" i="9" s="1"/>
  <c r="Q159" i="9" s="1" a="1"/>
  <c r="Q159" i="9" s="1"/>
  <c r="Q165" i="9" s="1" a="1"/>
  <c r="Q165" i="9" s="1"/>
  <c r="Q171" i="9" s="1" a="1"/>
  <c r="Q171" i="9" s="1"/>
  <c r="Q176" i="9" s="1" a="1"/>
  <c r="Q176" i="9" s="1"/>
  <c r="P365" i="9" l="1" a="1"/>
  <c r="P365" i="9" s="1"/>
  <c r="T365" i="9" s="1" a="1"/>
  <c r="T365" i="9" s="1"/>
  <c r="U380" i="9" a="1"/>
  <c r="U380" i="9" s="1"/>
  <c r="Y380" i="9" s="1" a="1"/>
  <c r="Y380" i="9" s="1"/>
  <c r="J261" i="9" a="1"/>
  <c r="J261" i="9" s="1"/>
  <c r="P261" i="9" s="1" a="1"/>
  <c r="P261" i="9" s="1"/>
  <c r="Q209" i="9"/>
  <c r="Q215" i="9" l="1" a="1"/>
  <c r="Q215" i="9" s="1"/>
  <c r="Q221" i="9" s="1" a="1"/>
  <c r="Q221" i="9" s="1"/>
  <c r="AD346" i="9" s="1" a="1"/>
  <c r="AD346" i="9" s="1"/>
  <c r="AD352" i="9" s="1" a="1"/>
  <c r="AD352" i="9" s="1"/>
  <c r="AD374" i="9" s="1" a="1"/>
  <c r="AD374" i="9" s="1"/>
  <c r="J325" i="9" a="1"/>
  <c r="J325" i="9" s="1"/>
  <c r="P325" i="9" s="1" a="1"/>
  <c r="P325" i="9" s="1"/>
  <c r="Y256" i="9" l="1" a="1"/>
  <c r="Y256" i="9" s="1"/>
  <c r="T261" i="9" a="1"/>
  <c r="T261" i="9" s="1"/>
  <c r="Q227" i="9" a="1"/>
  <c r="Q227" i="9" s="1"/>
  <c r="Q232" i="9" s="1" a="1"/>
  <c r="Q232" i="9" s="1"/>
  <c r="AD359" i="9" l="1" a="1"/>
  <c r="AD359" i="9" s="1"/>
  <c r="AD365" i="9" s="1" a="1"/>
  <c r="AD365" i="9" s="1"/>
  <c r="AD380" i="9" a="1"/>
  <c r="AD380" i="9" s="1"/>
  <c r="Y261" i="9" a="1"/>
  <c r="Y261" i="9" s="1"/>
  <c r="Y320" i="9" a="1"/>
  <c r="Y320" i="9" s="1"/>
  <c r="Y332" i="9" s="1" a="1"/>
  <c r="Y332" i="9" s="1"/>
  <c r="P338" i="9" a="1"/>
  <c r="P338" i="9" s="1"/>
  <c r="T338" i="9" l="1" a="1"/>
  <c r="T338" i="9" s="1"/>
  <c r="Y338" i="9" s="1" a="1"/>
  <c r="Y338" i="9" s="1"/>
  <c r="T325" i="9" a="1"/>
  <c r="T325" i="9" s="1"/>
  <c r="Y325" i="9" s="1" a="1"/>
  <c r="Y32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<sst xmlns="http://schemas.openxmlformats.org/spreadsheetml/2006/main" count="417" uniqueCount="120">
  <si>
    <t>Object in the World</t>
  </si>
  <si>
    <t>a</t>
  </si>
  <si>
    <t>b</t>
  </si>
  <si>
    <t>c</t>
  </si>
  <si>
    <t>World Coodinates</t>
  </si>
  <si>
    <t>Xw</t>
  </si>
  <si>
    <t>Yw</t>
  </si>
  <si>
    <t>Zw</t>
  </si>
  <si>
    <t>Project to X-Y</t>
  </si>
  <si>
    <t>x</t>
  </si>
  <si>
    <t>y</t>
  </si>
  <si>
    <t>Project to X-Z</t>
  </si>
  <si>
    <t>z</t>
  </si>
  <si>
    <t>Project to Z-Y</t>
  </si>
  <si>
    <t>Orthogonal Projection</t>
  </si>
  <si>
    <t>Z</t>
  </si>
  <si>
    <t>X</t>
  </si>
  <si>
    <t>Y</t>
  </si>
  <si>
    <t>Two Camera System</t>
  </si>
  <si>
    <t>Left Camera</t>
  </si>
  <si>
    <t>Right Camera</t>
  </si>
  <si>
    <t>Camera Location</t>
  </si>
  <si>
    <t>OL</t>
  </si>
  <si>
    <t>OR</t>
  </si>
  <si>
    <t>Translate</t>
  </si>
  <si>
    <t>T (Left)</t>
  </si>
  <si>
    <t>T (Right)</t>
  </si>
  <si>
    <t>dx</t>
  </si>
  <si>
    <t xml:space="preserve">dy </t>
  </si>
  <si>
    <t>dz</t>
  </si>
  <si>
    <t>Rotate Y</t>
  </si>
  <si>
    <t>R1 (Left)</t>
  </si>
  <si>
    <t>R1 (Right)</t>
  </si>
  <si>
    <t>deg.</t>
  </si>
  <si>
    <t>rad.</t>
  </si>
  <si>
    <t>Rotate Z</t>
  </si>
  <si>
    <t>R2 (Left)</t>
  </si>
  <si>
    <t>R2 (Right)</t>
  </si>
  <si>
    <t>Rotate X</t>
  </si>
  <si>
    <t>R3 (Left)</t>
  </si>
  <si>
    <t>Extrinsic (Left)</t>
  </si>
  <si>
    <t>Camera Coordinates (Left)</t>
  </si>
  <si>
    <t>R3 (Right)</t>
  </si>
  <si>
    <t>Extrinsic (Right)</t>
  </si>
  <si>
    <t>Camera Coordinates (Right)</t>
  </si>
  <si>
    <t>Xc</t>
  </si>
  <si>
    <t>Yc</t>
  </si>
  <si>
    <t>Zc</t>
  </si>
  <si>
    <t>Instrinsic (Left)</t>
  </si>
  <si>
    <t>Instrinsic (Right)</t>
  </si>
  <si>
    <t>zu</t>
  </si>
  <si>
    <t>zv</t>
  </si>
  <si>
    <t>Pixel Coordinates (Left)</t>
  </si>
  <si>
    <t>Pixel Coordinates (Right)</t>
  </si>
  <si>
    <t>u</t>
  </si>
  <si>
    <t>v</t>
  </si>
  <si>
    <t>Pixel to World (Left)</t>
  </si>
  <si>
    <t>From the Pixel to the Camera Coordinates</t>
  </si>
  <si>
    <t>Inverse Translation</t>
  </si>
  <si>
    <t>Inverse Scale</t>
  </si>
  <si>
    <t>Inverse Intrinsic (Left)</t>
  </si>
  <si>
    <t>Intrinsic (Left)</t>
  </si>
  <si>
    <t>Identity</t>
  </si>
  <si>
    <t>From the Camera to the World Coordinates</t>
  </si>
  <si>
    <t>R3^-1  (Left)</t>
  </si>
  <si>
    <t>R2^-1  (Left)</t>
  </si>
  <si>
    <t>R1^-1  (Left)</t>
  </si>
  <si>
    <t>T^-1 (Left)</t>
  </si>
  <si>
    <t>Inverse Extrinsic (Left)</t>
  </si>
  <si>
    <t>World Coordinates</t>
  </si>
  <si>
    <t>Extrinsic</t>
  </si>
  <si>
    <t xml:space="preserve"> </t>
  </si>
  <si>
    <t>Epipolar Line (Right)</t>
  </si>
  <si>
    <t>Labels</t>
  </si>
  <si>
    <t>e</t>
  </si>
  <si>
    <t>(epipole)</t>
  </si>
  <si>
    <t>Pixels (Left) to Epipolar Lines (Right)</t>
  </si>
  <si>
    <t>Epipolar Constraint (Camera)</t>
  </si>
  <si>
    <t>Cross Product with T</t>
  </si>
  <si>
    <t>Rotation R -&gt; L</t>
  </si>
  <si>
    <t>T</t>
  </si>
  <si>
    <t>Tx</t>
  </si>
  <si>
    <t>R</t>
  </si>
  <si>
    <t>p1'</t>
  </si>
  <si>
    <t>p2'</t>
  </si>
  <si>
    <t>p3'</t>
  </si>
  <si>
    <t>p4'</t>
  </si>
  <si>
    <t>p · Tx  · R  · p' = 0</t>
  </si>
  <si>
    <t>p</t>
  </si>
  <si>
    <t>Translation (T): Where is  the Right Camera as seen by the Left Camera?</t>
  </si>
  <si>
    <t>Rotation (R): How to rotate the Right Camera to align with the Left Camera?</t>
  </si>
  <si>
    <t>R3^-1 (Right)</t>
  </si>
  <si>
    <t>R2^-1 (Right)</t>
  </si>
  <si>
    <t>R1^-1 (Right)</t>
  </si>
  <si>
    <t xml:space="preserve">Essential Matrix (E) </t>
  </si>
  <si>
    <t>Epipolar Constraint in the Camera Coordinates</t>
  </si>
  <si>
    <t>Compute E</t>
  </si>
  <si>
    <t>Essential</t>
  </si>
  <si>
    <t>E = Tx · R</t>
  </si>
  <si>
    <t>p ·  E ·  p' = 0</t>
  </si>
  <si>
    <t>p^T</t>
  </si>
  <si>
    <t>Fundamental Matrix (F)</t>
  </si>
  <si>
    <t>Camera to Pixel Coordinates</t>
  </si>
  <si>
    <t>Intrinsic (Right)</t>
  </si>
  <si>
    <t>M'</t>
  </si>
  <si>
    <t>x1'</t>
  </si>
  <si>
    <t>x2'</t>
  </si>
  <si>
    <t>x3'</t>
  </si>
  <si>
    <t>x4'</t>
  </si>
  <si>
    <t>Inverse Instrinsic^T (Left)</t>
  </si>
  <si>
    <t>Inverse Instrinsic (Right)</t>
  </si>
  <si>
    <t>M^T</t>
  </si>
  <si>
    <t>M^-1^T</t>
  </si>
  <si>
    <t>M'^-1</t>
  </si>
  <si>
    <t>x^T</t>
  </si>
  <si>
    <t>Compute F</t>
  </si>
  <si>
    <t>Fundamental</t>
  </si>
  <si>
    <t>M^-1^T · E</t>
  </si>
  <si>
    <t>F = M^-1^T · E · M'^-1</t>
  </si>
  <si>
    <t>x ·  F ·  x'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</si>
</sst>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7">
    <font>
      <sz val="12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/>
    <xf numFmtId="2" fontId="0" fillId="3" borderId="0" xfId="0" applyNumberFormat="1" applyFill="1" applyAlignment="1">
      <alignment horizontal="center" shrinkToFit="1"/>
    </xf>
    <xf numFmtId="1" fontId="0" fillId="3" borderId="0" xfId="0" applyNumberFormat="1" applyFill="1" applyAlignment="1">
      <alignment horizontal="center" shrinkToFit="1"/>
    </xf>
    <xf numFmtId="1" fontId="0" fillId="4" borderId="0" xfId="0" applyNumberFormat="1" applyFill="1" applyAlignment="1">
      <alignment horizontal="center" shrinkToFi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3" borderId="0" xfId="0" applyFill="1" applyAlignment="1">
      <alignment shrinkToFit="1"/>
    </xf>
    <xf numFmtId="164" fontId="6" fillId="3" borderId="0" xfId="0" applyNumberFormat="1" applyFont="1" applyFill="1" applyAlignment="1">
      <alignment wrapText="1" shrinkToFi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6" fillId="0" borderId="13" xfId="0" applyNumberFormat="1" applyFont="1" applyBorder="1" applyAlignment="1">
      <alignment wrapText="1" shrinkToFit="1"/>
    </xf>
    <xf numFmtId="164" fontId="6" fillId="0" borderId="0" xfId="0" applyNumberFormat="1" applyFont="1" applyAlignment="1">
      <alignment wrapText="1" shrinkToFi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2" xfId="0" applyFill="1" applyBorder="1"/>
    <xf numFmtId="0" fontId="0" fillId="7" borderId="4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9" borderId="2" xfId="0" applyFill="1" applyBorder="1"/>
    <xf numFmtId="0" fontId="0" fillId="9" borderId="4" xfId="0" applyFill="1" applyBorder="1"/>
    <xf numFmtId="2" fontId="0" fillId="0" borderId="5" xfId="0" applyNumberFormat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13" xfId="0" applyNumberFormat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5" xfId="0" applyFill="1" applyBorder="1"/>
    <xf numFmtId="0" fontId="0" fillId="6" borderId="8" xfId="0" applyFill="1" applyBorder="1"/>
    <xf numFmtId="0" fontId="0" fillId="6" borderId="10" xfId="0" applyFill="1" applyBorder="1"/>
    <xf numFmtId="0" fontId="0" fillId="7" borderId="21" xfId="0" applyFill="1" applyBorder="1"/>
    <xf numFmtId="0" fontId="0" fillId="7" borderId="23" xfId="0" applyFill="1" applyBorder="1"/>
    <xf numFmtId="164" fontId="0" fillId="0" borderId="0" xfId="0" applyNumberFormat="1" applyAlignment="1">
      <alignment shrinkToFit="1"/>
    </xf>
    <xf numFmtId="164" fontId="0" fillId="0" borderId="5" xfId="0" applyNumberFormat="1" applyBorder="1" applyAlignment="1">
      <alignment shrinkToFit="1"/>
    </xf>
    <xf numFmtId="0" fontId="0" fillId="10" borderId="1" xfId="0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22416B-595F-4C42-8C61-2D4D1541834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836-BE42-BB63-9087846A4D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FAF65B-1205-4FF8-8310-3D49F6DE149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36-BE42-BB63-9087846A4D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0338EC-9E49-4ABC-99B3-08E3A337E5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36-BE42-BB63-9087846A4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epipolar_blank!$I$8:$K$8</c:f>
              <c:numCache>
                <c:formatCode>General</c:formatCode>
                <c:ptCount val="3"/>
                <c:pt idx="0">
                  <c:v>1</c:v>
                </c:pt>
                <c:pt idx="1">
                  <c:v>-1</c:v>
                </c:pt>
                <c:pt idx="2">
                  <c:v>-1</c:v>
                </c:pt>
              </c:numCache>
            </c:numRef>
          </c:xVal>
          <c:yVal>
            <c:numRef>
              <c:f>epipolar_blank!$I$9:$K$9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epipolar_blank!$I$2:$K$2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836-BE42-BB63-9087846A4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8310750-0388-46D5-A36B-BAC801FAF6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3A2-4B43-A2D5-AC8375D807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1498D2-068A-4304-992C-68ABF9A6F0A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A2-4B43-A2D5-AC8375D807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3162BA-AD45-475A-BB5D-D3A59DC9D13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A2-4B43-A2D5-AC8375D80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epipolar_blank!$I$11:$K$11</c:f>
              <c:numCache>
                <c:formatCode>General</c:formatCode>
                <c:ptCount val="3"/>
                <c:pt idx="0">
                  <c:v>1</c:v>
                </c:pt>
                <c:pt idx="1">
                  <c:v>-1</c:v>
                </c:pt>
                <c:pt idx="2">
                  <c:v>-1</c:v>
                </c:pt>
              </c:numCache>
            </c:numRef>
          </c:xVal>
          <c:yVal>
            <c:numRef>
              <c:f>epipolar_blank!$I$12:$K$12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epipolar_blank!$I$2:$K$2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3A2-4B43-A2D5-AC8375D80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01-DB4E-82CF-48C88877A8E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FBF61E4-CA55-4FEF-94D1-66B7AFE9F8B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701-DB4E-82CF-48C88877A8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81ABC2-5656-4271-8810-ADEB2BC9C67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701-DB4E-82CF-48C88877A8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C70D0E-A1CC-4419-8797-4BF647033D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01-DB4E-82CF-48C88877A8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epipolar_blank!$I$14:$K$14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xVal>
          <c:yVal>
            <c:numRef>
              <c:f>epipolar_blank!$I$15:$K$15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epipolar_blank!$I$2:$K$2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701-DB4E-82CF-48C88877A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AE7955E-C83E-4A16-9E4E-F3EEAD7D24F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E89-544D-9150-C54EB628BA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DE92FA-3FE5-4902-BD42-CF4C1E82AD6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E89-544D-9150-C54EB628BA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8F2519-83F3-4881-AB9D-845D200F8B1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89-544D-9150-C54EB628BA5D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epipolar_blank!$Q$79:$S$79</c:f>
              <c:numCache>
                <c:formatCode>General</c:formatCode>
                <c:ptCount val="3"/>
                <c:pt idx="0">
                  <c:v>205.68692876898601</c:v>
                </c:pt>
                <c:pt idx="1">
                  <c:v>264.71586454876581</c:v>
                </c:pt>
                <c:pt idx="2">
                  <c:v>273.13727083675491</c:v>
                </c:pt>
              </c:numCache>
            </c:numRef>
          </c:xVal>
          <c:yVal>
            <c:numRef>
              <c:f>epipolar_blank!$Q$80:$S$80</c:f>
              <c:numCache>
                <c:formatCode>General</c:formatCode>
                <c:ptCount val="3"/>
                <c:pt idx="0">
                  <c:v>249.59925307662814</c:v>
                </c:pt>
                <c:pt idx="1">
                  <c:v>316.16352378199127</c:v>
                </c:pt>
                <c:pt idx="2">
                  <c:v>286.99535978740278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epipolar_blank!$Q$43:$S$43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E89-544D-9150-C54EB628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6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4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4BEBD34-CBC3-43BE-9FB0-FBE8EA7D306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318-F441-AE47-358D9F486C3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0C894D-A6CE-497D-8529-51DB022B8D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318-F441-AE47-358D9F486C3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9EF050-59DB-4C5F-89FD-7798859491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18-F441-AE47-358D9F486C3F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epipolar_blank!$AJ$79:$AL$79</c:f>
              <c:numCache>
                <c:formatCode>General</c:formatCode>
                <c:ptCount val="3"/>
                <c:pt idx="0">
                  <c:v>229.10804725555161</c:v>
                </c:pt>
                <c:pt idx="1">
                  <c:v>316.50304474316778</c:v>
                </c:pt>
                <c:pt idx="2">
                  <c:v>383.59339189823584</c:v>
                </c:pt>
              </c:numCache>
            </c:numRef>
          </c:xVal>
          <c:yVal>
            <c:numRef>
              <c:f>epipolar_blank!$AJ$80:$AL$80</c:f>
              <c:numCache>
                <c:formatCode>General</c:formatCode>
                <c:ptCount val="3"/>
                <c:pt idx="0">
                  <c:v>237.04982513782045</c:v>
                </c:pt>
                <c:pt idx="1">
                  <c:v>336.18829545782364</c:v>
                </c:pt>
                <c:pt idx="2">
                  <c:v>298.52586366475998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epipolar_blank!$AJ$43:$AL$43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318-F441-AE47-358D9F48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6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4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91433D2-308A-4B2D-BFE0-7D17A57DA3E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82E-A34F-A373-CF3A5E3DAB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ED7D31-7117-4673-AD57-95EACDC663D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82E-A34F-A373-CF3A5E3DAB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93659F-163D-4886-A514-351E3C652FB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82E-A34F-A373-CF3A5E3DAB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3D48D1-EB55-4EF8-B9BA-462A0EA6D16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82E-A34F-A373-CF3A5E3DAB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A718311-DE4F-4026-B095-B95E486E381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82E-A34F-A373-CF3A5E3DAB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epipolar_blank!$Q$176:$U$176</c:f>
              <c:numCache>
                <c:formatCode>General</c:formatCode>
                <c:ptCount val="5"/>
                <c:pt idx="0">
                  <c:v>158.27259610667002</c:v>
                </c:pt>
                <c:pt idx="1">
                  <c:v>250.87937157186397</c:v>
                </c:pt>
                <c:pt idx="2">
                  <c:v>228.55100941295626</c:v>
                </c:pt>
                <c:pt idx="3">
                  <c:v>210.30352560284646</c:v>
                </c:pt>
                <c:pt idx="4">
                  <c:v>158.27259610667002</c:v>
                </c:pt>
              </c:numCache>
            </c:numRef>
          </c:xVal>
          <c:yVal>
            <c:numRef>
              <c:f>epipolar_blank!$Q$177:$U$177</c:f>
              <c:numCache>
                <c:formatCode>General</c:formatCode>
                <c:ptCount val="5"/>
                <c:pt idx="0">
                  <c:v>275.00464741566014</c:v>
                </c:pt>
                <c:pt idx="1">
                  <c:v>225.38438457413892</c:v>
                </c:pt>
                <c:pt idx="2">
                  <c:v>237.34829535259041</c:v>
                </c:pt>
                <c:pt idx="3">
                  <c:v>247.12560309606499</c:v>
                </c:pt>
                <c:pt idx="4">
                  <c:v>275.00464741566014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epipolar_blank!$Q$158:$U$158</c15:f>
                <c15:dlblRangeCache>
                  <c:ptCount val="5"/>
                  <c:pt idx="0">
                    <c:v>a0</c:v>
                  </c:pt>
                  <c:pt idx="1">
                    <c:v>a2</c:v>
                  </c:pt>
                  <c:pt idx="2">
                    <c:v>a3</c:v>
                  </c:pt>
                  <c:pt idx="3">
                    <c:v>a11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882E-A34F-A373-CF3A5E3DA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6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4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F8C2965-1D7C-4F32-9A6C-C010A675B8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0E8-7F47-98C5-4B684C3288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E79544-D5A3-4A30-97BB-21DB92EF66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E8-7F47-98C5-4B684C3288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539AC74-4301-43D7-B7C3-F0B1E03B5CA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0E8-7F47-98C5-4B684C3288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C7AAAB-438C-43B6-A4AB-28DEFE7A457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8-7F47-98C5-4B684C3288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epipolar_blank!$Q$232:$T$232</c:f>
              <c:numCache>
                <c:formatCode>General</c:formatCode>
                <c:ptCount val="4"/>
                <c:pt idx="0">
                  <c:v>158.27259610667002</c:v>
                </c:pt>
                <c:pt idx="1">
                  <c:v>250.87937157186397</c:v>
                </c:pt>
                <c:pt idx="2">
                  <c:v>228.55100941295626</c:v>
                </c:pt>
                <c:pt idx="3">
                  <c:v>210.30352560284646</c:v>
                </c:pt>
              </c:numCache>
            </c:numRef>
          </c:xVal>
          <c:yVal>
            <c:numRef>
              <c:f>epipolar_blank!$Q$233:$T$233</c:f>
              <c:numCache>
                <c:formatCode>General</c:formatCode>
                <c:ptCount val="4"/>
                <c:pt idx="0">
                  <c:v>275.00464741566014</c:v>
                </c:pt>
                <c:pt idx="1">
                  <c:v>225.38438457413892</c:v>
                </c:pt>
                <c:pt idx="2">
                  <c:v>237.34829535259041</c:v>
                </c:pt>
                <c:pt idx="3">
                  <c:v>247.12560309606499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epipolar_blank!$Q$203:$T$203</c15:f>
                <c15:dlblRangeCache>
                  <c:ptCount val="4"/>
                  <c:pt idx="0">
                    <c:v>a0</c:v>
                  </c:pt>
                  <c:pt idx="1">
                    <c:v>a2</c:v>
                  </c:pt>
                  <c:pt idx="2">
                    <c:v>a3</c:v>
                  </c:pt>
                  <c:pt idx="3">
                    <c:v>a11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0E8-7F47-98C5-4B684C3288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A84536C-FD8A-492B-96D5-41BEE510939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0E8-7F47-98C5-4B684C3288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33F29C-AA12-4E42-BCDA-6EF60E7F46C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0E8-7F47-98C5-4B684C3288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87C629-50DB-44D7-B9A9-0BE15DC0733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0E8-7F47-98C5-4B684C3288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292215-8220-438A-8A61-39F4439D57D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E8-7F47-98C5-4B684C3288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epipolar_blank!$X$232:$AA$232</c:f>
              <c:numCache>
                <c:formatCode>General</c:formatCode>
                <c:ptCount val="4"/>
                <c:pt idx="0">
                  <c:v>158.27259610667002</c:v>
                </c:pt>
                <c:pt idx="1">
                  <c:v>366.17107968551778</c:v>
                </c:pt>
                <c:pt idx="2">
                  <c:v>316.04480533552771</c:v>
                </c:pt>
                <c:pt idx="3">
                  <c:v>275.07993862685782</c:v>
                </c:pt>
              </c:numCache>
            </c:numRef>
          </c:xVal>
          <c:yVal>
            <c:numRef>
              <c:f>epipolar_blank!$X$233:$AA$233</c:f>
              <c:numCache>
                <c:formatCode>General</c:formatCode>
                <c:ptCount val="4"/>
                <c:pt idx="0">
                  <c:v>275.00464741566014</c:v>
                </c:pt>
                <c:pt idx="1">
                  <c:v>355.39364812568977</c:v>
                </c:pt>
                <c:pt idx="2">
                  <c:v>336.01110605541908</c:v>
                </c:pt>
                <c:pt idx="3">
                  <c:v>320.1710448763265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epipolar_blank!$X$203:$AA$203</c15:f>
                <c15:dlblRangeCache>
                  <c:ptCount val="4"/>
                  <c:pt idx="0">
                    <c:v>b0</c:v>
                  </c:pt>
                  <c:pt idx="1">
                    <c:v>b2</c:v>
                  </c:pt>
                  <c:pt idx="2">
                    <c:v>b3</c:v>
                  </c:pt>
                  <c:pt idx="3">
                    <c:v>b11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40E8-7F47-98C5-4B684C32887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7C05F1B-CCA6-4667-B6C1-38FBFF1B939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E8-7F47-98C5-4B684C3288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530DDD-D7BF-479A-9CE2-966713FB200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0E8-7F47-98C5-4B684C3288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A4E0C2-FC85-46B6-A755-1C10AD2EC2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E8-7F47-98C5-4B684C3288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204A061-163D-4703-84E7-0129CDDC070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0E8-7F47-98C5-4B684C3288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epipolar_blank!$AD$232:$AG$232</c:f>
              <c:numCache>
                <c:formatCode>General</c:formatCode>
                <c:ptCount val="4"/>
                <c:pt idx="0">
                  <c:v>158.27259610667002</c:v>
                </c:pt>
                <c:pt idx="1">
                  <c:v>382.61925553072604</c:v>
                </c:pt>
                <c:pt idx="2">
                  <c:v>328.52717171074494</c:v>
                </c:pt>
                <c:pt idx="3">
                  <c:v>284.32131295874348</c:v>
                </c:pt>
              </c:numCache>
            </c:numRef>
          </c:xVal>
          <c:yVal>
            <c:numRef>
              <c:f>epipolar_blank!$AD$233:$AG$233</c:f>
              <c:numCache>
                <c:formatCode>General</c:formatCode>
                <c:ptCount val="4"/>
                <c:pt idx="0">
                  <c:v>275.00464741566014</c:v>
                </c:pt>
                <c:pt idx="1">
                  <c:v>298.42417366284138</c:v>
                </c:pt>
                <c:pt idx="2">
                  <c:v>292.77750622398162</c:v>
                </c:pt>
                <c:pt idx="3">
                  <c:v>288.16286087120722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epipolar_blank!$AD$203:$AG$203</c15:f>
                <c15:dlblRangeCache>
                  <c:ptCount val="4"/>
                  <c:pt idx="0">
                    <c:v>c0</c:v>
                  </c:pt>
                  <c:pt idx="1">
                    <c:v>c2</c:v>
                  </c:pt>
                  <c:pt idx="2">
                    <c:v>c3</c:v>
                  </c:pt>
                  <c:pt idx="3">
                    <c:v>c11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40E8-7F47-98C5-4B684C328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03520"/>
        <c:axId val="1812382592"/>
      </c:scatterChart>
      <c:valAx>
        <c:axId val="1812403520"/>
        <c:scaling>
          <c:orientation val="minMax"/>
          <c:max val="6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2592"/>
        <c:crosses val="autoZero"/>
        <c:crossBetween val="midCat"/>
      </c:valAx>
      <c:valAx>
        <c:axId val="1812382592"/>
        <c:scaling>
          <c:orientation val="minMax"/>
          <c:max val="4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363538</xdr:colOff>
      <xdr:row>27</xdr:row>
      <xdr:rowOff>25401</xdr:rowOff>
    </xdr:from>
    <xdr:to>
      <xdr:col>15</xdr:col>
      <xdr:colOff>369888</xdr:colOff>
      <xdr:row>33</xdr:row>
      <xdr:rowOff>292101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DA999-2110-A641-87C2-7F926A196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356659</xdr:colOff>
      <xdr:row>19</xdr:row>
      <xdr:rowOff>104245</xdr:rowOff>
    </xdr:from>
    <xdr:to>
      <xdr:col>15</xdr:col>
      <xdr:colOff>316442</xdr:colOff>
      <xdr:row>25</xdr:row>
      <xdr:rowOff>294745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DCDA2-3C00-6649-A29A-38DCF838AE15}"/>
            </a:ext>
            <a:ext uri="{147F2762-F138-4A5C-976F-8EAC2B608ADB}">
              <a16:predDERef xmlns:a16="http://schemas.microsoft.com/office/drawing/2014/main" pred="{77EDA999-2110-A641-87C2-7F926A196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23</xdr:col>
      <xdr:colOff>330200</xdr:colOff>
      <xdr:row>33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CB220-BE33-B642-907E-42E386C5D243}"/>
            </a:ext>
            <a:ext uri="{147F2762-F138-4A5C-976F-8EAC2B608ADB}">
              <a16:predDERef xmlns:a16="http://schemas.microsoft.com/office/drawing/2014/main" pred="{0FCDCDA2-3C00-6649-A29A-38DCF838A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352954</xdr:colOff>
      <xdr:row>81</xdr:row>
      <xdr:rowOff>105834</xdr:rowOff>
    </xdr:from>
    <xdr:to>
      <xdr:col>19</xdr:col>
      <xdr:colOff>173037</xdr:colOff>
      <xdr:row>92</xdr:row>
      <xdr:rowOff>17464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04EA7-BBB3-1047-B50C-5DDCBBCF2A8E}"/>
            </a:ext>
            <a:ext uri="{147F2762-F138-4A5C-976F-8EAC2B608ADB}">
              <a16:predDERef xmlns:a16="http://schemas.microsoft.com/office/drawing/2014/main" pred="{4F3CB220-BE33-B642-907E-42E386C5D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9525</xdr:colOff>
      <xdr:row>81</xdr:row>
      <xdr:rowOff>79375</xdr:rowOff>
    </xdr:from>
    <xdr:to>
      <xdr:col>38</xdr:col>
      <xdr:colOff>147107</xdr:colOff>
      <xdr:row>91</xdr:row>
      <xdr:rowOff>295276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1CDEFF-2C01-024C-A371-0FE56AA99FF2}"/>
            </a:ext>
            <a:ext uri="{147F2762-F138-4A5C-976F-8EAC2B608ADB}">
              <a16:predDERef xmlns:a16="http://schemas.microsoft.com/office/drawing/2014/main" pred="{A1D04EA7-BBB3-1047-B50C-5DDCBBCF2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179</xdr:row>
      <xdr:rowOff>0</xdr:rowOff>
    </xdr:from>
    <xdr:to>
      <xdr:col>27</xdr:col>
      <xdr:colOff>165099</xdr:colOff>
      <xdr:row>189</xdr:row>
      <xdr:rowOff>215901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140A76-5FB1-C543-A0D7-52779525D6BB}"/>
            </a:ext>
            <a:ext uri="{147F2762-F138-4A5C-976F-8EAC2B608ADB}">
              <a16:predDERef xmlns:a16="http://schemas.microsoft.com/office/drawing/2014/main" pred="{AE1CDEFF-2C01-024C-A371-0FE56AA99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236</xdr:row>
      <xdr:rowOff>0</xdr:rowOff>
    </xdr:from>
    <xdr:to>
      <xdr:col>27</xdr:col>
      <xdr:colOff>165099</xdr:colOff>
      <xdr:row>246</xdr:row>
      <xdr:rowOff>215901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E47F0C-C6EF-784E-A048-222B77DACABE}"/>
            </a:ext>
            <a:ext uri="{147F2762-F138-4A5C-976F-8EAC2B608ADB}">
              <a16:predDERef xmlns:a16="http://schemas.microsoft.com/office/drawing/2014/main" pred="{46140A76-5FB1-C543-A0D7-52779525D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B75D-5F7E-C743-BEC0-960D71C27DCE}">
  <dimension ref="A1:AL380"/>
  <sheetViews>
    <sheetView tabSelected="1" topLeftCell="A341" zoomScale="146" zoomScaleNormal="146" workbookViewId="0">
      <selection activeCell="V361" sqref="T359:V361"/>
    </sheetView>
  </sheetViews>
  <sheetFormatPr defaultColWidth="4.875" defaultRowHeight="24" customHeight="1"/>
  <cols>
    <col min="2" max="2" width="4.875" customWidth="1"/>
    <col min="7" max="8" width="4.875" customWidth="1"/>
    <col min="11" max="12" width="5" bestFit="1" customWidth="1"/>
    <col min="13" max="14" width="4.875" customWidth="1"/>
    <col min="17" max="18" width="5" bestFit="1" customWidth="1"/>
    <col min="19" max="20" width="5.125" bestFit="1" customWidth="1"/>
    <col min="24" max="24" width="5" bestFit="1" customWidth="1"/>
    <col min="25" max="25" width="4.875" customWidth="1"/>
    <col min="26" max="27" width="5.125" bestFit="1" customWidth="1"/>
    <col min="30" max="31" width="5" bestFit="1" customWidth="1"/>
    <col min="32" max="33" width="5.125" bestFit="1" customWidth="1"/>
  </cols>
  <sheetData>
    <row r="1" spans="1:11" s="2" customFormat="1" ht="32.1">
      <c r="A1" s="1" t="s">
        <v>0</v>
      </c>
    </row>
    <row r="2" spans="1:11" s="7" customFormat="1" ht="32.1">
      <c r="A2" s="6"/>
      <c r="I2" s="24" t="s">
        <v>1</v>
      </c>
      <c r="J2" s="24" t="s">
        <v>2</v>
      </c>
      <c r="K2" s="24" t="s">
        <v>3</v>
      </c>
    </row>
    <row r="3" spans="1:11" ht="24" customHeight="1">
      <c r="H3" t="s">
        <v>4</v>
      </c>
      <c r="I3" s="24"/>
      <c r="J3" s="24"/>
      <c r="K3" s="24"/>
    </row>
    <row r="4" spans="1:11" ht="24" customHeight="1">
      <c r="H4" t="s">
        <v>5</v>
      </c>
      <c r="I4" s="37">
        <v>1</v>
      </c>
      <c r="J4" s="37">
        <v>-1</v>
      </c>
      <c r="K4" s="37">
        <v>-1</v>
      </c>
    </row>
    <row r="5" spans="1:11" ht="24" customHeight="1">
      <c r="H5" t="s">
        <v>6</v>
      </c>
      <c r="I5" s="38">
        <v>2</v>
      </c>
      <c r="J5" s="38">
        <v>2</v>
      </c>
      <c r="K5" s="38">
        <v>1</v>
      </c>
    </row>
    <row r="6" spans="1:11" ht="24" customHeight="1">
      <c r="H6" t="s">
        <v>7</v>
      </c>
      <c r="I6" s="39">
        <v>1</v>
      </c>
      <c r="J6" s="39">
        <v>1</v>
      </c>
      <c r="K6" s="39">
        <v>0</v>
      </c>
    </row>
    <row r="7" spans="1:11" ht="24" customHeight="1">
      <c r="C7" t="s">
        <v>8</v>
      </c>
    </row>
    <row r="8" spans="1:11" ht="24" customHeight="1">
      <c r="C8" s="11">
        <v>1</v>
      </c>
      <c r="D8" s="11">
        <v>0</v>
      </c>
      <c r="E8" s="11">
        <v>0</v>
      </c>
      <c r="H8" t="s">
        <v>9</v>
      </c>
      <c r="I8" s="12" cm="1">
        <f t="array" ref="I8:K9">MMULT(C8:E9,I4:K6)</f>
        <v>1</v>
      </c>
      <c r="J8" s="12">
        <v>-1</v>
      </c>
      <c r="K8" s="12">
        <v>-1</v>
      </c>
    </row>
    <row r="9" spans="1:11" ht="24" customHeight="1">
      <c r="C9" s="11">
        <v>0</v>
      </c>
      <c r="D9" s="11">
        <v>1</v>
      </c>
      <c r="E9" s="11">
        <v>0</v>
      </c>
      <c r="H9" t="s">
        <v>10</v>
      </c>
      <c r="I9" s="14">
        <v>2</v>
      </c>
      <c r="J9" s="14">
        <v>2</v>
      </c>
      <c r="K9" s="14">
        <v>1</v>
      </c>
    </row>
    <row r="10" spans="1:11" ht="24" customHeight="1">
      <c r="C10" t="s">
        <v>11</v>
      </c>
    </row>
    <row r="11" spans="1:11" ht="24" customHeight="1">
      <c r="C11" s="11">
        <v>1</v>
      </c>
      <c r="D11" s="11">
        <v>0</v>
      </c>
      <c r="E11" s="11">
        <v>0</v>
      </c>
      <c r="H11" t="s">
        <v>9</v>
      </c>
      <c r="I11" s="12" cm="1">
        <f t="array" ref="I11:K12">MMULT(C11:E12,I4:K6)</f>
        <v>1</v>
      </c>
      <c r="J11" s="12">
        <v>-1</v>
      </c>
      <c r="K11" s="12">
        <v>-1</v>
      </c>
    </row>
    <row r="12" spans="1:11" ht="24" customHeight="1">
      <c r="C12" s="11">
        <v>0</v>
      </c>
      <c r="D12" s="11">
        <v>0</v>
      </c>
      <c r="E12" s="11">
        <v>1</v>
      </c>
      <c r="H12" t="s">
        <v>12</v>
      </c>
      <c r="I12" s="14">
        <v>1</v>
      </c>
      <c r="J12" s="14">
        <v>1</v>
      </c>
      <c r="K12" s="14">
        <v>0</v>
      </c>
    </row>
    <row r="13" spans="1:11" ht="24" customHeight="1">
      <c r="C13" t="s">
        <v>13</v>
      </c>
    </row>
    <row r="14" spans="1:11" ht="24" customHeight="1">
      <c r="C14" s="11">
        <v>0</v>
      </c>
      <c r="D14" s="11">
        <v>0</v>
      </c>
      <c r="E14" s="11">
        <v>1</v>
      </c>
      <c r="H14" t="s">
        <v>12</v>
      </c>
      <c r="I14" s="12" cm="1">
        <f t="array" ref="I14:K15">MMULT(C14:E15,I4:K6)</f>
        <v>1</v>
      </c>
      <c r="J14" s="12">
        <v>1</v>
      </c>
      <c r="K14" s="12">
        <v>0</v>
      </c>
    </row>
    <row r="15" spans="1:11" ht="24" customHeight="1">
      <c r="C15" s="11">
        <v>0</v>
      </c>
      <c r="D15" s="11">
        <v>1</v>
      </c>
      <c r="E15" s="11">
        <v>0</v>
      </c>
      <c r="H15" t="s">
        <v>10</v>
      </c>
      <c r="I15" s="14">
        <v>2</v>
      </c>
      <c r="J15" s="14">
        <v>2</v>
      </c>
      <c r="K15" s="14">
        <v>1</v>
      </c>
    </row>
    <row r="18" spans="1:25" s="69" customFormat="1" ht="24" customHeight="1">
      <c r="A18" s="69" t="s">
        <v>14</v>
      </c>
    </row>
    <row r="19" spans="1:25" ht="24" customHeight="1">
      <c r="M19" s="9" t="s">
        <v>15</v>
      </c>
    </row>
    <row r="23" spans="1:25" ht="24" customHeight="1">
      <c r="I23" s="10" t="s">
        <v>16</v>
      </c>
    </row>
    <row r="27" spans="1:25" ht="24" customHeight="1">
      <c r="M27" s="10" t="s">
        <v>17</v>
      </c>
      <c r="U27" s="10" t="s">
        <v>17</v>
      </c>
    </row>
    <row r="31" spans="1:25" ht="24" customHeight="1">
      <c r="I31" s="10" t="s">
        <v>16</v>
      </c>
      <c r="Y31" s="10" t="s">
        <v>15</v>
      </c>
    </row>
    <row r="39" spans="1:38" s="2" customFormat="1" ht="32.1">
      <c r="A39" s="1" t="s">
        <v>18</v>
      </c>
    </row>
    <row r="41" spans="1:38" ht="24" customHeight="1">
      <c r="C41" s="8" t="s">
        <v>19</v>
      </c>
      <c r="V41" s="8" t="s">
        <v>20</v>
      </c>
    </row>
    <row r="43" spans="1:38" ht="24" customHeight="1">
      <c r="G43" t="s">
        <v>21</v>
      </c>
      <c r="Q43" s="24" t="s">
        <v>1</v>
      </c>
      <c r="R43" s="24" t="s">
        <v>2</v>
      </c>
      <c r="S43" s="24" t="s">
        <v>3</v>
      </c>
      <c r="Z43" t="s">
        <v>21</v>
      </c>
      <c r="AJ43" s="24" t="s">
        <v>1</v>
      </c>
      <c r="AK43" s="24" t="s">
        <v>2</v>
      </c>
      <c r="AL43" s="24" t="s">
        <v>3</v>
      </c>
    </row>
    <row r="44" spans="1:38" ht="24" customHeight="1">
      <c r="H44" t="s">
        <v>22</v>
      </c>
      <c r="P44" t="s">
        <v>4</v>
      </c>
      <c r="AA44" t="s">
        <v>23</v>
      </c>
      <c r="AI44" t="s">
        <v>4</v>
      </c>
    </row>
    <row r="45" spans="1:38" ht="24" customHeight="1">
      <c r="H45" s="23">
        <v>-1</v>
      </c>
      <c r="P45" t="s">
        <v>5</v>
      </c>
      <c r="Q45" s="37" cm="1">
        <f t="array" ref="Q45:S47">I4:K6</f>
        <v>1</v>
      </c>
      <c r="R45" s="37">
        <v>-1</v>
      </c>
      <c r="S45" s="37">
        <v>-1</v>
      </c>
      <c r="AA45" s="23">
        <v>0</v>
      </c>
      <c r="AI45" t="s">
        <v>5</v>
      </c>
      <c r="AJ45" s="37" cm="1">
        <f t="array" ref="AJ45:AL47">I4:K6</f>
        <v>1</v>
      </c>
      <c r="AK45" s="37">
        <v>-1</v>
      </c>
      <c r="AL45" s="37">
        <v>-1</v>
      </c>
    </row>
    <row r="46" spans="1:38" ht="24" customHeight="1">
      <c r="H46" s="23">
        <v>-1</v>
      </c>
      <c r="P46" t="s">
        <v>6</v>
      </c>
      <c r="Q46" s="38">
        <v>2</v>
      </c>
      <c r="R46" s="38">
        <v>2</v>
      </c>
      <c r="S46" s="38">
        <v>1</v>
      </c>
      <c r="AA46" s="23">
        <v>0</v>
      </c>
      <c r="AI46" t="s">
        <v>6</v>
      </c>
      <c r="AJ46" s="38">
        <v>2</v>
      </c>
      <c r="AK46" s="38">
        <v>2</v>
      </c>
      <c r="AL46" s="38">
        <v>1</v>
      </c>
    </row>
    <row r="47" spans="1:38" ht="24" customHeight="1">
      <c r="H47" s="23">
        <v>-1</v>
      </c>
      <c r="P47" t="s">
        <v>7</v>
      </c>
      <c r="Q47" s="39">
        <v>1</v>
      </c>
      <c r="R47" s="39">
        <v>1</v>
      </c>
      <c r="S47" s="39">
        <v>0</v>
      </c>
      <c r="AA47" s="23">
        <v>0</v>
      </c>
      <c r="AI47" t="s">
        <v>7</v>
      </c>
      <c r="AJ47" s="39">
        <v>1</v>
      </c>
      <c r="AK47" s="39">
        <v>1</v>
      </c>
      <c r="AL47" s="39">
        <v>0</v>
      </c>
    </row>
    <row r="48" spans="1:38" ht="24" customHeight="1">
      <c r="Q48">
        <v>1</v>
      </c>
      <c r="R48">
        <v>1</v>
      </c>
      <c r="S48">
        <v>1</v>
      </c>
      <c r="AJ48">
        <v>1</v>
      </c>
      <c r="AK48">
        <v>1</v>
      </c>
      <c r="AL48">
        <v>1</v>
      </c>
    </row>
    <row r="49" spans="3:33" ht="24" customHeight="1">
      <c r="C49" t="s">
        <v>24</v>
      </c>
      <c r="F49" t="s">
        <v>25</v>
      </c>
      <c r="V49" t="s">
        <v>24</v>
      </c>
      <c r="Y49" t="s">
        <v>26</v>
      </c>
    </row>
    <row r="50" spans="3:33" ht="24" customHeight="1">
      <c r="C50" t="s">
        <v>27</v>
      </c>
      <c r="D50" s="23" cm="1">
        <f t="array" ref="D50:D52">-H45:H47</f>
        <v>1</v>
      </c>
      <c r="F50" s="4">
        <v>1</v>
      </c>
      <c r="G50" s="4">
        <v>0</v>
      </c>
      <c r="H50" s="4">
        <v>0</v>
      </c>
      <c r="I50" s="5">
        <f>D50</f>
        <v>1</v>
      </c>
      <c r="V50" t="s">
        <v>27</v>
      </c>
      <c r="W50" s="23" cm="1">
        <f t="array" ref="W50:W52">-AA45:AA47</f>
        <v>0</v>
      </c>
      <c r="Y50" s="4">
        <v>1</v>
      </c>
      <c r="Z50" s="4">
        <v>0</v>
      </c>
      <c r="AA50" s="4">
        <v>0</v>
      </c>
      <c r="AB50" s="5">
        <f>W50</f>
        <v>0</v>
      </c>
    </row>
    <row r="51" spans="3:33" ht="24" customHeight="1">
      <c r="C51" t="s">
        <v>28</v>
      </c>
      <c r="D51" s="23">
        <v>1</v>
      </c>
      <c r="F51" s="4">
        <v>0</v>
      </c>
      <c r="G51" s="4">
        <v>1</v>
      </c>
      <c r="H51" s="4">
        <v>0</v>
      </c>
      <c r="I51" s="5">
        <f>D51</f>
        <v>1</v>
      </c>
      <c r="V51" t="s">
        <v>28</v>
      </c>
      <c r="W51" s="23">
        <v>0</v>
      </c>
      <c r="Y51" s="4">
        <v>0</v>
      </c>
      <c r="Z51" s="4">
        <v>1</v>
      </c>
      <c r="AA51" s="4">
        <v>0</v>
      </c>
      <c r="AB51" s="5">
        <f>W51</f>
        <v>0</v>
      </c>
    </row>
    <row r="52" spans="3:33" ht="24" customHeight="1">
      <c r="C52" t="s">
        <v>29</v>
      </c>
      <c r="D52" s="23">
        <v>1</v>
      </c>
      <c r="F52" s="4">
        <v>0</v>
      </c>
      <c r="G52" s="4">
        <v>0</v>
      </c>
      <c r="H52" s="4">
        <v>1</v>
      </c>
      <c r="I52" s="5">
        <f>D52</f>
        <v>1</v>
      </c>
      <c r="V52" t="s">
        <v>29</v>
      </c>
      <c r="W52" s="23">
        <v>0</v>
      </c>
      <c r="Y52" s="4">
        <v>0</v>
      </c>
      <c r="Z52" s="4">
        <v>0</v>
      </c>
      <c r="AA52" s="4">
        <v>1</v>
      </c>
      <c r="AB52" s="5">
        <f>W52</f>
        <v>0</v>
      </c>
    </row>
    <row r="53" spans="3:33" ht="24" customHeight="1">
      <c r="F53" s="4">
        <v>0</v>
      </c>
      <c r="G53" s="4">
        <v>0</v>
      </c>
      <c r="H53" s="4">
        <v>0</v>
      </c>
      <c r="I53" s="5">
        <v>1</v>
      </c>
      <c r="Y53" s="4">
        <v>0</v>
      </c>
      <c r="Z53" s="4">
        <v>0</v>
      </c>
      <c r="AA53" s="4">
        <v>0</v>
      </c>
      <c r="AB53" s="5">
        <v>1</v>
      </c>
    </row>
    <row r="55" spans="3:33" ht="24" customHeight="1">
      <c r="C55" t="s">
        <v>30</v>
      </c>
      <c r="F55" t="s">
        <v>31</v>
      </c>
      <c r="V55" t="s">
        <v>30</v>
      </c>
      <c r="Y55" t="s">
        <v>32</v>
      </c>
    </row>
    <row r="56" spans="3:33" ht="24" customHeight="1">
      <c r="C56" t="s">
        <v>33</v>
      </c>
      <c r="D56" s="23">
        <v>150</v>
      </c>
      <c r="F56" s="3">
        <f>COS(D57)</f>
        <v>-0.86602540378443871</v>
      </c>
      <c r="G56" s="4">
        <v>0</v>
      </c>
      <c r="H56" s="3">
        <f>-SIN(D57)</f>
        <v>-0.49999999999999994</v>
      </c>
      <c r="I56" s="5">
        <v>0</v>
      </c>
      <c r="K56" s="15" cm="1">
        <f t="array" ref="K56:N59">MMULT(F56:I59,F50:I53)</f>
        <v>-0.86602540378443871</v>
      </c>
      <c r="L56" s="16">
        <v>0</v>
      </c>
      <c r="M56" s="16">
        <v>-0.49999999999999994</v>
      </c>
      <c r="N56" s="17">
        <v>-1.3660254037844386</v>
      </c>
      <c r="V56" t="s">
        <v>33</v>
      </c>
      <c r="W56" s="23">
        <v>150</v>
      </c>
      <c r="Y56" s="3">
        <f>COS(W57)</f>
        <v>-0.86602540378443871</v>
      </c>
      <c r="Z56" s="4">
        <v>0</v>
      </c>
      <c r="AA56" s="3">
        <f>-SIN(W57)</f>
        <v>-0.49999999999999994</v>
      </c>
      <c r="AB56" s="5">
        <v>0</v>
      </c>
      <c r="AD56" s="15" cm="1">
        <f t="array" ref="AD56:AG59">MMULT(Y56:AB59,Y50:AB53)</f>
        <v>-0.86602540378443871</v>
      </c>
      <c r="AE56" s="16">
        <v>0</v>
      </c>
      <c r="AF56" s="16">
        <v>-0.49999999999999994</v>
      </c>
      <c r="AG56" s="17">
        <v>0</v>
      </c>
    </row>
    <row r="57" spans="3:33" ht="24" customHeight="1">
      <c r="C57" t="s">
        <v>34</v>
      </c>
      <c r="D57" s="23">
        <f>D56/180*PI()</f>
        <v>2.6179938779914944</v>
      </c>
      <c r="F57" s="4">
        <v>0</v>
      </c>
      <c r="G57" s="4">
        <v>1</v>
      </c>
      <c r="H57" s="4">
        <v>0</v>
      </c>
      <c r="I57" s="5">
        <v>0</v>
      </c>
      <c r="K57" s="18">
        <v>0</v>
      </c>
      <c r="L57">
        <v>1</v>
      </c>
      <c r="M57">
        <v>0</v>
      </c>
      <c r="N57" s="19">
        <v>1</v>
      </c>
      <c r="V57" t="s">
        <v>34</v>
      </c>
      <c r="W57" s="23">
        <f>W56/180*PI()</f>
        <v>2.6179938779914944</v>
      </c>
      <c r="Y57" s="4">
        <v>0</v>
      </c>
      <c r="Z57" s="4">
        <v>1</v>
      </c>
      <c r="AA57" s="4">
        <v>0</v>
      </c>
      <c r="AB57" s="5">
        <v>0</v>
      </c>
      <c r="AD57" s="18">
        <v>0</v>
      </c>
      <c r="AE57">
        <v>1</v>
      </c>
      <c r="AF57">
        <v>0</v>
      </c>
      <c r="AG57" s="19">
        <v>0</v>
      </c>
    </row>
    <row r="58" spans="3:33" ht="24" customHeight="1">
      <c r="F58" s="3">
        <f>SIN(D57)</f>
        <v>0.49999999999999994</v>
      </c>
      <c r="G58" s="4">
        <v>0</v>
      </c>
      <c r="H58" s="3">
        <f>COS(D57)</f>
        <v>-0.86602540378443871</v>
      </c>
      <c r="I58" s="5">
        <v>0</v>
      </c>
      <c r="K58" s="18">
        <v>0.49999999999999994</v>
      </c>
      <c r="L58">
        <v>0</v>
      </c>
      <c r="M58">
        <v>-0.86602540378443871</v>
      </c>
      <c r="N58" s="19">
        <v>-0.36602540378443876</v>
      </c>
      <c r="Y58" s="3">
        <f>SIN(W57)</f>
        <v>0.49999999999999994</v>
      </c>
      <c r="Z58" s="4">
        <v>0</v>
      </c>
      <c r="AA58" s="3">
        <f>COS(W57)</f>
        <v>-0.86602540378443871</v>
      </c>
      <c r="AB58" s="5">
        <v>0</v>
      </c>
      <c r="AD58" s="18">
        <v>0.49999999999999994</v>
      </c>
      <c r="AE58">
        <v>0</v>
      </c>
      <c r="AF58">
        <v>-0.86602540378443871</v>
      </c>
      <c r="AG58" s="19">
        <v>0</v>
      </c>
    </row>
    <row r="59" spans="3:33" ht="24" customHeight="1">
      <c r="F59" s="4">
        <v>0</v>
      </c>
      <c r="G59" s="4">
        <v>0</v>
      </c>
      <c r="H59" s="4">
        <v>0</v>
      </c>
      <c r="I59" s="5">
        <v>1</v>
      </c>
      <c r="K59" s="20">
        <v>0</v>
      </c>
      <c r="L59" s="21">
        <v>0</v>
      </c>
      <c r="M59" s="21">
        <v>0</v>
      </c>
      <c r="N59" s="22">
        <v>1</v>
      </c>
      <c r="Y59" s="4">
        <v>0</v>
      </c>
      <c r="Z59" s="4">
        <v>0</v>
      </c>
      <c r="AA59" s="4">
        <v>0</v>
      </c>
      <c r="AB59" s="5">
        <v>1</v>
      </c>
      <c r="AD59" s="20">
        <v>0</v>
      </c>
      <c r="AE59" s="21">
        <v>0</v>
      </c>
      <c r="AF59" s="21">
        <v>0</v>
      </c>
      <c r="AG59" s="22">
        <v>1</v>
      </c>
    </row>
    <row r="61" spans="3:33" ht="24" customHeight="1">
      <c r="C61" t="s">
        <v>35</v>
      </c>
      <c r="F61" t="s">
        <v>36</v>
      </c>
      <c r="V61" t="s">
        <v>35</v>
      </c>
      <c r="Y61" t="s">
        <v>37</v>
      </c>
    </row>
    <row r="62" spans="3:33" ht="24" customHeight="1">
      <c r="C62" t="s">
        <v>33</v>
      </c>
      <c r="D62" s="23">
        <v>1</v>
      </c>
      <c r="F62" s="3">
        <f>COS(D63)</f>
        <v>0.99984769515639127</v>
      </c>
      <c r="G62" s="3">
        <f>-SIN(D63)</f>
        <v>-1.7452406437283512E-2</v>
      </c>
      <c r="H62" s="4">
        <v>0</v>
      </c>
      <c r="I62" s="5">
        <v>0</v>
      </c>
      <c r="K62" s="15" cm="1">
        <f t="array" ref="K62:N65">MMULT(F62:I65,K56:N59)</f>
        <v>-0.86589350392075415</v>
      </c>
      <c r="L62" s="16">
        <v>-1.7452406437283512E-2</v>
      </c>
      <c r="M62" s="16">
        <v>-0.49992384757819558</v>
      </c>
      <c r="N62" s="17">
        <v>-1.383269757936233</v>
      </c>
      <c r="V62" t="s">
        <v>33</v>
      </c>
      <c r="W62" s="23">
        <v>1</v>
      </c>
      <c r="Y62" s="3">
        <f>COS(W63)</f>
        <v>0.99984769515639127</v>
      </c>
      <c r="Z62" s="3">
        <f>-SIN(W63)</f>
        <v>-1.7452406437283512E-2</v>
      </c>
      <c r="AA62" s="4">
        <v>0</v>
      </c>
      <c r="AB62" s="5">
        <v>0</v>
      </c>
      <c r="AD62" s="15" cm="1">
        <f t="array" ref="AD62:AG65">MMULT(Y62:AB65,_xlfn.ANCHORARRAY(AD56))</f>
        <v>-0.86589350392075415</v>
      </c>
      <c r="AE62" s="16">
        <v>-1.7452406437283512E-2</v>
      </c>
      <c r="AF62" s="16">
        <v>-0.49992384757819558</v>
      </c>
      <c r="AG62" s="17">
        <v>0</v>
      </c>
    </row>
    <row r="63" spans="3:33" ht="24" customHeight="1">
      <c r="C63" t="s">
        <v>34</v>
      </c>
      <c r="D63" s="23">
        <f>D62/180*PI()</f>
        <v>1.7453292519943295E-2</v>
      </c>
      <c r="F63" s="3">
        <f>SIN(D63)</f>
        <v>1.7452406437283512E-2</v>
      </c>
      <c r="G63" s="3">
        <f>COS(D63)</f>
        <v>0.99984769515639127</v>
      </c>
      <c r="H63" s="4">
        <v>0</v>
      </c>
      <c r="I63" s="5">
        <v>0</v>
      </c>
      <c r="K63" s="18">
        <v>-1.511422733185859E-2</v>
      </c>
      <c r="L63">
        <v>0.99984769515639127</v>
      </c>
      <c r="M63">
        <v>-8.7262032186417541E-3</v>
      </c>
      <c r="N63" s="19">
        <v>0.97600726460589093</v>
      </c>
      <c r="V63" t="s">
        <v>34</v>
      </c>
      <c r="W63" s="23">
        <f>W62/180*PI()</f>
        <v>1.7453292519943295E-2</v>
      </c>
      <c r="Y63" s="3">
        <f>SIN(W63)</f>
        <v>1.7452406437283512E-2</v>
      </c>
      <c r="Z63" s="3">
        <f>COS(W63)</f>
        <v>0.99984769515639127</v>
      </c>
      <c r="AA63" s="4">
        <v>0</v>
      </c>
      <c r="AB63" s="5">
        <v>0</v>
      </c>
      <c r="AD63" s="18">
        <v>-1.511422733185859E-2</v>
      </c>
      <c r="AE63">
        <v>0.99984769515639127</v>
      </c>
      <c r="AF63">
        <v>-8.7262032186417541E-3</v>
      </c>
      <c r="AG63" s="19">
        <v>0</v>
      </c>
    </row>
    <row r="64" spans="3:33" ht="24" customHeight="1">
      <c r="F64" s="4">
        <v>0</v>
      </c>
      <c r="G64" s="4">
        <v>0</v>
      </c>
      <c r="H64" s="4">
        <v>1</v>
      </c>
      <c r="I64" s="5">
        <v>0</v>
      </c>
      <c r="K64" s="18">
        <v>0.49999999999999994</v>
      </c>
      <c r="L64">
        <v>0</v>
      </c>
      <c r="M64">
        <v>-0.86602540378443871</v>
      </c>
      <c r="N64" s="19">
        <v>-0.36602540378443876</v>
      </c>
      <c r="Y64" s="4">
        <v>0</v>
      </c>
      <c r="Z64" s="4">
        <v>0</v>
      </c>
      <c r="AA64" s="4">
        <v>1</v>
      </c>
      <c r="AB64" s="5">
        <v>0</v>
      </c>
      <c r="AD64" s="18">
        <v>0.49999999999999994</v>
      </c>
      <c r="AE64">
        <v>0</v>
      </c>
      <c r="AF64">
        <v>-0.86602540378443871</v>
      </c>
      <c r="AG64" s="19">
        <v>0</v>
      </c>
    </row>
    <row r="65" spans="3:38" ht="24" customHeight="1">
      <c r="F65" s="4">
        <v>0</v>
      </c>
      <c r="G65" s="4">
        <v>0</v>
      </c>
      <c r="H65" s="4">
        <v>0</v>
      </c>
      <c r="I65" s="5">
        <v>1</v>
      </c>
      <c r="K65" s="20">
        <v>0</v>
      </c>
      <c r="L65" s="21">
        <v>0</v>
      </c>
      <c r="M65" s="21">
        <v>0</v>
      </c>
      <c r="N65" s="22">
        <v>1</v>
      </c>
      <c r="Y65" s="4">
        <v>0</v>
      </c>
      <c r="Z65" s="4">
        <v>0</v>
      </c>
      <c r="AA65" s="4">
        <v>0</v>
      </c>
      <c r="AB65" s="5">
        <v>1</v>
      </c>
      <c r="AD65" s="20">
        <v>0</v>
      </c>
      <c r="AE65" s="21">
        <v>0</v>
      </c>
      <c r="AF65" s="21">
        <v>0</v>
      </c>
      <c r="AG65" s="22">
        <v>1</v>
      </c>
    </row>
    <row r="67" spans="3:38" ht="24" customHeight="1" thickBot="1">
      <c r="C67" t="s">
        <v>38</v>
      </c>
      <c r="F67" t="s">
        <v>39</v>
      </c>
      <c r="K67" t="s">
        <v>40</v>
      </c>
      <c r="P67" t="s">
        <v>41</v>
      </c>
      <c r="V67" t="s">
        <v>38</v>
      </c>
      <c r="Y67" t="s">
        <v>42</v>
      </c>
      <c r="AD67" t="s">
        <v>43</v>
      </c>
      <c r="AI67" t="s">
        <v>44</v>
      </c>
    </row>
    <row r="68" spans="3:38" ht="24" customHeight="1">
      <c r="C68" t="s">
        <v>33</v>
      </c>
      <c r="D68" s="23">
        <v>90</v>
      </c>
      <c r="F68" s="4">
        <v>1</v>
      </c>
      <c r="G68" s="4">
        <v>0</v>
      </c>
      <c r="H68" s="4">
        <v>0</v>
      </c>
      <c r="I68" s="5">
        <v>0</v>
      </c>
      <c r="K68" s="27" cm="1">
        <f t="array" ref="K68:N71">MMULT(F68:I71,_xlfn.ANCHORARRAY(K62))</f>
        <v>-0.86589350392075415</v>
      </c>
      <c r="L68" s="28">
        <v>-1.7452406437283512E-2</v>
      </c>
      <c r="M68" s="28">
        <v>-0.49992384757819558</v>
      </c>
      <c r="N68" s="29">
        <v>-1.383269757936233</v>
      </c>
      <c r="P68" t="s">
        <v>45</v>
      </c>
      <c r="Q68" s="40" cm="1">
        <f t="array" ref="Q68:S71">MMULT(_xlfn.ANCHORARRAY(K68),Q45:S48)</f>
        <v>-2.7839919223097498</v>
      </c>
      <c r="R68" s="40">
        <v>-1.0522049144682415</v>
      </c>
      <c r="S68" s="40">
        <v>-0.53482866045276234</v>
      </c>
      <c r="V68" t="s">
        <v>33</v>
      </c>
      <c r="W68" s="23">
        <v>90</v>
      </c>
      <c r="Y68" s="4">
        <v>1</v>
      </c>
      <c r="Z68" s="4">
        <v>0</v>
      </c>
      <c r="AA68" s="4">
        <v>0</v>
      </c>
      <c r="AB68" s="5">
        <v>0</v>
      </c>
      <c r="AD68" s="27" cm="1">
        <f t="array" ref="AD68:AG71">MMULT(Y68:AB71,_xlfn.ANCHORARRAY(AD62))</f>
        <v>-0.86589350392075415</v>
      </c>
      <c r="AE68" s="28">
        <v>-1.7452406437283512E-2</v>
      </c>
      <c r="AF68" s="28">
        <v>-0.49992384757819558</v>
      </c>
      <c r="AG68" s="29">
        <v>0</v>
      </c>
      <c r="AI68" t="s">
        <v>16</v>
      </c>
      <c r="AJ68" s="45" cm="1">
        <f t="array" ref="AJ68:AL71">MMULT(_xlfn.ANCHORARRAY(AD68),AJ45:AL48)</f>
        <v>-1.4007221643735168</v>
      </c>
      <c r="AK68" s="45">
        <v>0.33106484346799153</v>
      </c>
      <c r="AL68" s="45">
        <v>0.84844109748347063</v>
      </c>
    </row>
    <row r="69" spans="3:38" ht="24" customHeight="1">
      <c r="C69" t="s">
        <v>34</v>
      </c>
      <c r="D69" s="23">
        <f>D68/180*PI()</f>
        <v>1.5707963267948966</v>
      </c>
      <c r="F69" s="4">
        <v>0</v>
      </c>
      <c r="G69" s="3">
        <f>COS(D69)</f>
        <v>6.1257422745431001E-17</v>
      </c>
      <c r="H69" s="3">
        <f>-SIN(D69)</f>
        <v>-1</v>
      </c>
      <c r="I69" s="5">
        <v>0</v>
      </c>
      <c r="K69" s="30">
        <v>-0.49999999999999994</v>
      </c>
      <c r="L69">
        <v>6.1248092943239885E-17</v>
      </c>
      <c r="M69">
        <v>0.86602540378443871</v>
      </c>
      <c r="N69" s="31">
        <v>0.36602540378443882</v>
      </c>
      <c r="P69" t="s">
        <v>46</v>
      </c>
      <c r="Q69" s="41">
        <v>0.73205080756887764</v>
      </c>
      <c r="R69" s="41">
        <v>1.7320508075688776</v>
      </c>
      <c r="S69" s="41">
        <v>0.86602540378443882</v>
      </c>
      <c r="V69" t="s">
        <v>34</v>
      </c>
      <c r="W69" s="23">
        <f>W68/180*PI()</f>
        <v>1.5707963267948966</v>
      </c>
      <c r="Y69" s="4">
        <v>0</v>
      </c>
      <c r="Z69" s="3">
        <f>COS(W69)</f>
        <v>6.1257422745431001E-17</v>
      </c>
      <c r="AA69" s="3">
        <f>-SIN(W69)</f>
        <v>-1</v>
      </c>
      <c r="AB69" s="5">
        <v>0</v>
      </c>
      <c r="AD69" s="30">
        <v>-0.49999999999999994</v>
      </c>
      <c r="AE69">
        <v>6.1248092943239885E-17</v>
      </c>
      <c r="AF69">
        <v>0.86602540378443871</v>
      </c>
      <c r="AG69" s="31">
        <v>0</v>
      </c>
      <c r="AI69" t="s">
        <v>17</v>
      </c>
      <c r="AJ69" s="46">
        <v>0.36602540378443887</v>
      </c>
      <c r="AK69" s="46">
        <v>1.3660254037844388</v>
      </c>
      <c r="AL69" s="46">
        <v>0.5</v>
      </c>
    </row>
    <row r="70" spans="3:38" ht="24" customHeight="1">
      <c r="F70" s="4">
        <v>0</v>
      </c>
      <c r="G70" s="3">
        <f>SIN(D69)</f>
        <v>1</v>
      </c>
      <c r="H70" s="3">
        <f>COS(D69)</f>
        <v>6.1257422745431001E-17</v>
      </c>
      <c r="I70" s="5">
        <v>0</v>
      </c>
      <c r="K70" s="30">
        <v>-1.5114227331858559E-2</v>
      </c>
      <c r="L70">
        <v>0.99984769515639127</v>
      </c>
      <c r="M70">
        <v>-8.7262032186418079E-3</v>
      </c>
      <c r="N70" s="31">
        <v>0.97600726460589093</v>
      </c>
      <c r="P70" t="s">
        <v>47</v>
      </c>
      <c r="Q70" s="42">
        <v>2.9518622243681731</v>
      </c>
      <c r="R70" s="42">
        <v>2.9820906790318906</v>
      </c>
      <c r="S70" s="42">
        <v>1.9909691870941408</v>
      </c>
      <c r="Y70" s="4">
        <v>0</v>
      </c>
      <c r="Z70" s="3">
        <f>SIN(W69)</f>
        <v>1</v>
      </c>
      <c r="AA70" s="3">
        <f>COS(W69)</f>
        <v>6.1257422745431001E-17</v>
      </c>
      <c r="AB70" s="5">
        <v>0</v>
      </c>
      <c r="AD70" s="30">
        <v>-1.5114227331858559E-2</v>
      </c>
      <c r="AE70">
        <v>0.99984769515639127</v>
      </c>
      <c r="AF70">
        <v>-8.7262032186418079E-3</v>
      </c>
      <c r="AG70" s="31">
        <v>0</v>
      </c>
      <c r="AI70" t="s">
        <v>15</v>
      </c>
      <c r="AJ70" s="47">
        <v>1.9758549597622823</v>
      </c>
      <c r="AK70" s="47">
        <v>2.0060834144259996</v>
      </c>
      <c r="AL70" s="47">
        <v>1.0149619224882498</v>
      </c>
    </row>
    <row r="71" spans="3:38" ht="24" customHeight="1" thickBot="1">
      <c r="F71" s="4">
        <v>0</v>
      </c>
      <c r="G71" s="4">
        <v>0</v>
      </c>
      <c r="H71" s="4">
        <v>0</v>
      </c>
      <c r="I71" s="5">
        <v>1</v>
      </c>
      <c r="K71" s="32">
        <v>0</v>
      </c>
      <c r="L71" s="33">
        <v>0</v>
      </c>
      <c r="M71" s="33">
        <v>0</v>
      </c>
      <c r="N71" s="34">
        <v>1</v>
      </c>
      <c r="Q71">
        <v>1</v>
      </c>
      <c r="R71">
        <v>1</v>
      </c>
      <c r="S71">
        <v>1</v>
      </c>
      <c r="Y71" s="4">
        <v>0</v>
      </c>
      <c r="Z71" s="4">
        <v>0</v>
      </c>
      <c r="AA71" s="4">
        <v>0</v>
      </c>
      <c r="AB71" s="5">
        <v>1</v>
      </c>
      <c r="AD71" s="32">
        <v>0</v>
      </c>
      <c r="AE71" s="33">
        <v>0</v>
      </c>
      <c r="AF71" s="33">
        <v>0</v>
      </c>
      <c r="AG71" s="34">
        <v>1</v>
      </c>
      <c r="AJ71">
        <v>1</v>
      </c>
      <c r="AK71">
        <v>1</v>
      </c>
      <c r="AL71">
        <v>1</v>
      </c>
    </row>
    <row r="73" spans="3:38" ht="24" customHeight="1" thickBot="1">
      <c r="K73" t="s">
        <v>48</v>
      </c>
      <c r="AD73" t="s">
        <v>49</v>
      </c>
    </row>
    <row r="74" spans="3:38" ht="24" customHeight="1">
      <c r="L74" s="27">
        <v>100</v>
      </c>
      <c r="M74" s="28">
        <v>0</v>
      </c>
      <c r="N74" s="29">
        <v>300</v>
      </c>
      <c r="P74" t="s">
        <v>50</v>
      </c>
      <c r="Q74" s="12" cm="1">
        <f t="array" ref="Q74:S76">MMULT(L74:N76,Q68:S70)</f>
        <v>607.15947507947703</v>
      </c>
      <c r="R74" s="12">
        <v>789.40671226274299</v>
      </c>
      <c r="S74" s="12">
        <v>543.80789008296608</v>
      </c>
      <c r="AE74" s="27">
        <v>100</v>
      </c>
      <c r="AF74" s="28">
        <v>0</v>
      </c>
      <c r="AG74" s="29">
        <v>300</v>
      </c>
      <c r="AI74" t="s">
        <v>50</v>
      </c>
      <c r="AJ74" s="12" cm="1">
        <f t="array" ref="AJ74:AL76">MMULT(AE74:AG76,AJ68:AL70)</f>
        <v>452.68427149133299</v>
      </c>
      <c r="AK74" s="12">
        <v>634.93150867459894</v>
      </c>
      <c r="AL74" s="12">
        <v>389.33268649482204</v>
      </c>
    </row>
    <row r="75" spans="3:38" ht="24" customHeight="1">
      <c r="L75" s="30">
        <v>0</v>
      </c>
      <c r="M75">
        <v>200</v>
      </c>
      <c r="N75" s="31">
        <v>200</v>
      </c>
      <c r="P75" t="s">
        <v>51</v>
      </c>
      <c r="Q75" s="13">
        <v>736.78260638741017</v>
      </c>
      <c r="R75" s="13">
        <v>942.82829732015364</v>
      </c>
      <c r="S75" s="13">
        <v>571.39891817571583</v>
      </c>
      <c r="AE75" s="30">
        <v>0</v>
      </c>
      <c r="AF75">
        <v>200</v>
      </c>
      <c r="AG75" s="31">
        <v>200</v>
      </c>
      <c r="AI75" t="s">
        <v>51</v>
      </c>
      <c r="AJ75" s="13">
        <v>468.37607270934427</v>
      </c>
      <c r="AK75" s="13">
        <v>674.42176364208763</v>
      </c>
      <c r="AL75" s="13">
        <v>302.99238449764994</v>
      </c>
    </row>
    <row r="76" spans="3:38" ht="24" customHeight="1" thickBot="1">
      <c r="L76" s="32">
        <v>0</v>
      </c>
      <c r="M76" s="33">
        <v>0</v>
      </c>
      <c r="N76" s="34">
        <v>1</v>
      </c>
      <c r="P76" t="s">
        <v>12</v>
      </c>
      <c r="Q76" s="14">
        <v>2.9518622243681731</v>
      </c>
      <c r="R76" s="14">
        <v>2.9820906790318906</v>
      </c>
      <c r="S76" s="14">
        <v>1.9909691870941408</v>
      </c>
      <c r="AE76" s="32">
        <v>0</v>
      </c>
      <c r="AF76" s="33">
        <v>0</v>
      </c>
      <c r="AG76" s="34">
        <v>1</v>
      </c>
      <c r="AI76" t="s">
        <v>12</v>
      </c>
      <c r="AJ76" s="14">
        <v>1.9758549597622823</v>
      </c>
      <c r="AK76" s="14">
        <v>2.0060834144259996</v>
      </c>
      <c r="AL76" s="14">
        <v>1.0149619224882498</v>
      </c>
    </row>
    <row r="78" spans="3:38" ht="24" customHeight="1">
      <c r="P78" t="s">
        <v>52</v>
      </c>
      <c r="AI78" t="s">
        <v>53</v>
      </c>
    </row>
    <row r="79" spans="3:38" ht="24" customHeight="1">
      <c r="P79" t="s">
        <v>54</v>
      </c>
      <c r="Q79" s="43" cm="1">
        <f t="array" ref="Q79:S80">Q74:S75/Q76:S76</f>
        <v>205.68692876898601</v>
      </c>
      <c r="R79" s="43">
        <v>264.71586454876581</v>
      </c>
      <c r="S79" s="43">
        <v>273.13727083675491</v>
      </c>
      <c r="AI79" t="s">
        <v>54</v>
      </c>
      <c r="AJ79" s="48" cm="1">
        <f t="array" ref="AJ79:AL80">AJ74:AL75/AJ76:AL76</f>
        <v>229.10804725555161</v>
      </c>
      <c r="AK79" s="48">
        <v>316.50304474316778</v>
      </c>
      <c r="AL79" s="48">
        <v>383.59339189823584</v>
      </c>
    </row>
    <row r="80" spans="3:38" ht="24" customHeight="1">
      <c r="P80" t="s">
        <v>55</v>
      </c>
      <c r="Q80" s="44">
        <v>249.59925307662814</v>
      </c>
      <c r="R80" s="44">
        <v>316.16352378199127</v>
      </c>
      <c r="S80" s="44">
        <v>286.99535978740278</v>
      </c>
      <c r="AI80" t="s">
        <v>55</v>
      </c>
      <c r="AJ80" s="49">
        <v>237.04982513782045</v>
      </c>
      <c r="AK80" s="49">
        <v>336.18829545782364</v>
      </c>
      <c r="AL80" s="49">
        <v>298.52586366475998</v>
      </c>
    </row>
    <row r="95" spans="1:1" s="2" customFormat="1" ht="32.1">
      <c r="A95" s="1" t="s">
        <v>56</v>
      </c>
    </row>
    <row r="96" spans="1:1" s="69" customFormat="1" ht="24" customHeight="1">
      <c r="A96" s="69" t="s">
        <v>57</v>
      </c>
    </row>
    <row r="97" spans="8:20" ht="24" customHeight="1">
      <c r="Q97" t="s">
        <v>1</v>
      </c>
      <c r="R97" t="s">
        <v>1</v>
      </c>
      <c r="S97" t="s">
        <v>1</v>
      </c>
      <c r="T97" t="s">
        <v>1</v>
      </c>
    </row>
    <row r="98" spans="8:20" ht="24" customHeight="1">
      <c r="P98" t="s">
        <v>52</v>
      </c>
    </row>
    <row r="99" spans="8:20" ht="24" customHeight="1">
      <c r="P99" t="s">
        <v>54</v>
      </c>
      <c r="Q99" s="43" cm="1">
        <f t="array" ref="Q99:Q100">Q79:Q80</f>
        <v>205.68692876898601</v>
      </c>
      <c r="R99" s="43" cm="1">
        <f t="array" ref="R99:R100">_xlfn.ANCHORARRAY(Q99)</f>
        <v>205.68692876898601</v>
      </c>
      <c r="S99" s="43" cm="1">
        <f t="array" ref="S99:S100">_xlfn.ANCHORARRAY(R99)</f>
        <v>205.68692876898601</v>
      </c>
      <c r="T99" s="43" cm="1">
        <f t="array" ref="T99:T100">_xlfn.ANCHORARRAY(S99)</f>
        <v>205.68692876898601</v>
      </c>
    </row>
    <row r="100" spans="8:20" ht="24" customHeight="1">
      <c r="P100" t="s">
        <v>55</v>
      </c>
      <c r="Q100" s="44">
        <v>249.59925307662814</v>
      </c>
      <c r="R100" s="44">
        <v>249.59925307662814</v>
      </c>
      <c r="S100" s="44">
        <v>249.59925307662814</v>
      </c>
      <c r="T100" s="44">
        <v>249.59925307662814</v>
      </c>
    </row>
    <row r="102" spans="8:20" ht="24" customHeight="1">
      <c r="Q102" t="str">
        <f>Q97&amp;Q105</f>
        <v>a0</v>
      </c>
      <c r="R102" t="str">
        <f>R97&amp;R105</f>
        <v>a2</v>
      </c>
      <c r="S102" t="str">
        <f>S97&amp;S105</f>
        <v>a3</v>
      </c>
      <c r="T102" t="str">
        <f>T97&amp;T105</f>
        <v>a11</v>
      </c>
    </row>
    <row r="103" spans="8:20" ht="24" customHeight="1">
      <c r="P103" t="s">
        <v>50</v>
      </c>
      <c r="Q103" s="12" cm="1">
        <f t="array" ref="Q103:T104">Q99:T100*Q105:T105</f>
        <v>0</v>
      </c>
      <c r="R103" s="12">
        <v>411.37385753797201</v>
      </c>
      <c r="S103" s="12">
        <v>617.06078630695799</v>
      </c>
      <c r="T103" s="12">
        <v>2262.5562164588459</v>
      </c>
    </row>
    <row r="104" spans="8:20" ht="24" customHeight="1">
      <c r="P104" t="s">
        <v>51</v>
      </c>
      <c r="Q104" s="14">
        <v>0</v>
      </c>
      <c r="R104" s="14">
        <v>499.19850615325629</v>
      </c>
      <c r="S104" s="14">
        <v>748.79775922988438</v>
      </c>
      <c r="T104" s="14">
        <v>2745.5917838429095</v>
      </c>
    </row>
    <row r="105" spans="8:20" ht="24" customHeight="1">
      <c r="P105" t="s">
        <v>12</v>
      </c>
      <c r="Q105">
        <v>0</v>
      </c>
      <c r="R105">
        <v>2</v>
      </c>
      <c r="S105">
        <v>3</v>
      </c>
      <c r="T105">
        <v>11</v>
      </c>
    </row>
    <row r="107" spans="8:20" ht="24" customHeight="1">
      <c r="L107" t="s">
        <v>58</v>
      </c>
    </row>
    <row r="108" spans="8:20" ht="24" customHeight="1">
      <c r="L108" s="11">
        <v>1</v>
      </c>
      <c r="M108" s="11">
        <v>0</v>
      </c>
      <c r="N108" s="11" cm="1">
        <f t="array" ref="N108:N109">-N74:N75</f>
        <v>-300</v>
      </c>
    </row>
    <row r="109" spans="8:20" ht="24" customHeight="1">
      <c r="L109" s="11">
        <v>0</v>
      </c>
      <c r="M109" s="11">
        <v>1</v>
      </c>
      <c r="N109" s="11">
        <v>-200</v>
      </c>
    </row>
    <row r="110" spans="8:20" ht="24" customHeight="1">
      <c r="L110" s="11">
        <v>0</v>
      </c>
      <c r="M110" s="11">
        <v>0</v>
      </c>
      <c r="N110" s="11">
        <v>1</v>
      </c>
    </row>
    <row r="112" spans="8:20" ht="24" customHeight="1" thickBot="1">
      <c r="H112" t="s">
        <v>59</v>
      </c>
      <c r="L112" t="s">
        <v>60</v>
      </c>
      <c r="P112" t="s">
        <v>41</v>
      </c>
    </row>
    <row r="113" spans="1:20" ht="24" customHeight="1">
      <c r="H113" s="26">
        <f>1/L74</f>
        <v>0.01</v>
      </c>
      <c r="I113" s="25">
        <v>0</v>
      </c>
      <c r="J113" s="11">
        <v>0</v>
      </c>
      <c r="L113" s="35" cm="1">
        <f t="array" ref="L113:N115">MMULT(H113:J115,L108:N110)</f>
        <v>0.01</v>
      </c>
      <c r="M113" s="28">
        <v>0</v>
      </c>
      <c r="N113" s="29">
        <v>-3</v>
      </c>
      <c r="P113" t="s">
        <v>45</v>
      </c>
      <c r="Q113" s="40" cm="1">
        <f t="array" ref="Q113:T115">MMULT(_xlfn.ANCHORARRAY(L113),Q103:T105)</f>
        <v>0</v>
      </c>
      <c r="R113" s="40">
        <v>-1.8862614246202796</v>
      </c>
      <c r="S113" s="40">
        <v>-2.8293921369304202</v>
      </c>
      <c r="T113" s="40">
        <v>-10.374437835411541</v>
      </c>
    </row>
    <row r="114" spans="1:20" ht="24" customHeight="1">
      <c r="H114" s="25">
        <v>0</v>
      </c>
      <c r="I114" s="26">
        <f>1/M75</f>
        <v>5.0000000000000001E-3</v>
      </c>
      <c r="J114" s="11">
        <v>0</v>
      </c>
      <c r="L114" s="30">
        <v>0</v>
      </c>
      <c r="M114" s="36">
        <v>5.0000000000000001E-3</v>
      </c>
      <c r="N114" s="31">
        <v>-1</v>
      </c>
      <c r="P114" t="s">
        <v>46</v>
      </c>
      <c r="Q114" s="41">
        <v>0</v>
      </c>
      <c r="R114" s="41">
        <v>0.49599253076628136</v>
      </c>
      <c r="S114" s="41">
        <v>0.74398879614942182</v>
      </c>
      <c r="T114" s="41">
        <v>2.7279589192145473</v>
      </c>
    </row>
    <row r="115" spans="1:20" ht="24" customHeight="1" thickBot="1">
      <c r="H115" s="11">
        <v>0</v>
      </c>
      <c r="I115" s="11">
        <v>0</v>
      </c>
      <c r="J115" s="11">
        <v>1</v>
      </c>
      <c r="L115" s="32">
        <v>0</v>
      </c>
      <c r="M115" s="33">
        <v>0</v>
      </c>
      <c r="N115" s="34">
        <v>1</v>
      </c>
      <c r="P115" t="s">
        <v>47</v>
      </c>
      <c r="Q115" s="42">
        <v>0</v>
      </c>
      <c r="R115" s="42">
        <v>2</v>
      </c>
      <c r="S115" s="42">
        <v>3</v>
      </c>
      <c r="T115" s="42">
        <v>11</v>
      </c>
    </row>
    <row r="116" spans="1:20" ht="24" customHeight="1">
      <c r="Q116">
        <v>1</v>
      </c>
      <c r="R116">
        <v>1</v>
      </c>
      <c r="S116">
        <v>1</v>
      </c>
      <c r="T116">
        <v>1</v>
      </c>
    </row>
    <row r="117" spans="1:20" ht="24" customHeight="1" thickBot="1">
      <c r="H117" t="s">
        <v>61</v>
      </c>
      <c r="L117" t="s">
        <v>62</v>
      </c>
    </row>
    <row r="118" spans="1:20" ht="24" customHeight="1">
      <c r="H118" s="27" cm="1">
        <f t="array" ref="H118:J120">L74:N76</f>
        <v>100</v>
      </c>
      <c r="I118" s="28">
        <v>0</v>
      </c>
      <c r="J118" s="29">
        <v>300</v>
      </c>
      <c r="L118" s="15" cm="1">
        <f t="array" ref="L118:N120">MMULT(_xlfn.ANCHORARRAY(H118),_xlfn.ANCHORARRAY(L113))</f>
        <v>1</v>
      </c>
      <c r="M118" s="16">
        <v>0</v>
      </c>
      <c r="N118" s="17">
        <v>0</v>
      </c>
    </row>
    <row r="119" spans="1:20" ht="24" customHeight="1">
      <c r="H119" s="30">
        <v>0</v>
      </c>
      <c r="I119">
        <v>200</v>
      </c>
      <c r="J119" s="31">
        <v>200</v>
      </c>
      <c r="L119" s="18">
        <v>0</v>
      </c>
      <c r="M119">
        <v>1</v>
      </c>
      <c r="N119" s="19">
        <v>0</v>
      </c>
    </row>
    <row r="120" spans="1:20" ht="24" customHeight="1" thickBot="1">
      <c r="H120" s="32">
        <v>0</v>
      </c>
      <c r="I120" s="33">
        <v>0</v>
      </c>
      <c r="J120" s="34">
        <v>1</v>
      </c>
      <c r="L120" s="20">
        <v>0</v>
      </c>
      <c r="M120" s="21">
        <v>0</v>
      </c>
      <c r="N120" s="22">
        <v>1</v>
      </c>
    </row>
    <row r="122" spans="1:20" s="69" customFormat="1" ht="24" customHeight="1">
      <c r="A122" s="69" t="s">
        <v>63</v>
      </c>
    </row>
    <row r="124" spans="1:20" ht="24" customHeight="1">
      <c r="C124" t="s">
        <v>38</v>
      </c>
      <c r="F124" t="s">
        <v>64</v>
      </c>
    </row>
    <row r="125" spans="1:20" ht="24" customHeight="1">
      <c r="C125" t="s">
        <v>33</v>
      </c>
      <c r="D125" s="23">
        <f>-D68</f>
        <v>-90</v>
      </c>
      <c r="F125" s="4">
        <v>1</v>
      </c>
      <c r="G125" s="4">
        <v>0</v>
      </c>
      <c r="H125" s="4">
        <v>0</v>
      </c>
      <c r="I125" s="5">
        <v>0</v>
      </c>
    </row>
    <row r="126" spans="1:20" ht="24" customHeight="1">
      <c r="C126" t="s">
        <v>34</v>
      </c>
      <c r="D126" s="23">
        <f>D125/180*PI()</f>
        <v>-1.5707963267948966</v>
      </c>
      <c r="F126" s="4">
        <v>0</v>
      </c>
      <c r="G126" s="3">
        <f>COS(D126)</f>
        <v>6.1257422745431001E-17</v>
      </c>
      <c r="H126" s="3">
        <f>-SIN(D126)</f>
        <v>1</v>
      </c>
      <c r="I126" s="5">
        <v>0</v>
      </c>
    </row>
    <row r="127" spans="1:20" ht="24" customHeight="1">
      <c r="F127" s="4">
        <v>0</v>
      </c>
      <c r="G127" s="3">
        <f>SIN(D126)</f>
        <v>-1</v>
      </c>
      <c r="H127" s="3">
        <f>COS(D126)</f>
        <v>6.1257422745431001E-17</v>
      </c>
      <c r="I127" s="5">
        <v>0</v>
      </c>
    </row>
    <row r="128" spans="1:20" ht="24" customHeight="1">
      <c r="F128" s="4">
        <v>0</v>
      </c>
      <c r="G128" s="4">
        <v>0</v>
      </c>
      <c r="H128" s="4">
        <v>0</v>
      </c>
      <c r="I128" s="5">
        <v>1</v>
      </c>
    </row>
    <row r="130" spans="3:20" ht="24" customHeight="1">
      <c r="C130" t="s">
        <v>35</v>
      </c>
      <c r="F130" t="s">
        <v>65</v>
      </c>
    </row>
    <row r="131" spans="3:20" ht="24" customHeight="1">
      <c r="C131" t="s">
        <v>33</v>
      </c>
      <c r="D131" s="23">
        <f>-D62</f>
        <v>-1</v>
      </c>
      <c r="F131" s="3">
        <f>COS(D132)</f>
        <v>0.99984769515639127</v>
      </c>
      <c r="G131" s="3">
        <f>-SIN(D132)</f>
        <v>1.7452406437283512E-2</v>
      </c>
      <c r="H131" s="4">
        <v>0</v>
      </c>
      <c r="I131" s="5">
        <v>0</v>
      </c>
      <c r="K131" s="15" cm="1">
        <f t="array" ref="K131:N134">MMULT(F131:I134,F125:I128)</f>
        <v>0.99984769515639127</v>
      </c>
      <c r="L131" s="16">
        <v>1.0690894390537575E-18</v>
      </c>
      <c r="M131" s="16">
        <v>1.7452406437283512E-2</v>
      </c>
      <c r="N131" s="17">
        <v>0</v>
      </c>
    </row>
    <row r="132" spans="3:20" ht="24" customHeight="1">
      <c r="C132" t="s">
        <v>34</v>
      </c>
      <c r="D132" s="23">
        <f>D131/180*PI()</f>
        <v>-1.7453292519943295E-2</v>
      </c>
      <c r="F132" s="3">
        <f>SIN(D132)</f>
        <v>-1.7452406437283512E-2</v>
      </c>
      <c r="G132" s="3">
        <f>COS(D132)</f>
        <v>0.99984769515639127</v>
      </c>
      <c r="H132" s="4">
        <v>0</v>
      </c>
      <c r="I132" s="5">
        <v>0</v>
      </c>
      <c r="K132" s="18">
        <v>-1.7452406437283512E-2</v>
      </c>
      <c r="L132">
        <v>6.1248092943239885E-17</v>
      </c>
      <c r="M132">
        <v>0.99984769515639127</v>
      </c>
      <c r="N132" s="19">
        <v>0</v>
      </c>
    </row>
    <row r="133" spans="3:20" ht="24" customHeight="1">
      <c r="F133" s="4">
        <v>0</v>
      </c>
      <c r="G133" s="4">
        <v>0</v>
      </c>
      <c r="H133" s="4">
        <v>1</v>
      </c>
      <c r="I133" s="5">
        <v>0</v>
      </c>
      <c r="K133" s="18">
        <v>0</v>
      </c>
      <c r="L133">
        <v>-1</v>
      </c>
      <c r="M133">
        <v>6.1257422745431001E-17</v>
      </c>
      <c r="N133" s="19">
        <v>0</v>
      </c>
    </row>
    <row r="134" spans="3:20" ht="24" customHeight="1">
      <c r="F134" s="4">
        <v>0</v>
      </c>
      <c r="G134" s="4">
        <v>0</v>
      </c>
      <c r="H134" s="4">
        <v>0</v>
      </c>
      <c r="I134" s="5">
        <v>1</v>
      </c>
      <c r="K134" s="20">
        <v>0</v>
      </c>
      <c r="L134" s="21">
        <v>0</v>
      </c>
      <c r="M134" s="21">
        <v>0</v>
      </c>
      <c r="N134" s="22">
        <v>1</v>
      </c>
    </row>
    <row r="136" spans="3:20" ht="24" customHeight="1">
      <c r="C136" t="s">
        <v>30</v>
      </c>
      <c r="F136" t="s">
        <v>66</v>
      </c>
    </row>
    <row r="137" spans="3:20" ht="24" customHeight="1">
      <c r="C137" t="s">
        <v>33</v>
      </c>
      <c r="D137" s="23">
        <f>-D56</f>
        <v>-150</v>
      </c>
      <c r="F137" s="3">
        <f>COS(D138)</f>
        <v>-0.86602540378443871</v>
      </c>
      <c r="G137" s="4">
        <v>0</v>
      </c>
      <c r="H137" s="3">
        <f>-SIN(D138)</f>
        <v>0.49999999999999994</v>
      </c>
      <c r="I137" s="5">
        <v>0</v>
      </c>
      <c r="K137" s="15" cm="1">
        <f t="array" ref="K137:N140">MMULT(F137:I140,_xlfn.ANCHORARRAY(K131))</f>
        <v>-0.86589350392075415</v>
      </c>
      <c r="L137" s="16">
        <v>-0.49999999999999994</v>
      </c>
      <c r="M137" s="16">
        <v>-1.5114227331858559E-2</v>
      </c>
      <c r="N137" s="17">
        <v>0</v>
      </c>
    </row>
    <row r="138" spans="3:20" ht="24" customHeight="1">
      <c r="C138" t="s">
        <v>34</v>
      </c>
      <c r="D138" s="23">
        <f>D137/180*PI()</f>
        <v>-2.6179938779914944</v>
      </c>
      <c r="F138" s="4">
        <v>0</v>
      </c>
      <c r="G138" s="4">
        <v>1</v>
      </c>
      <c r="H138" s="4">
        <v>0</v>
      </c>
      <c r="I138" s="5">
        <v>0</v>
      </c>
      <c r="K138" s="18">
        <v>-1.7452406437283512E-2</v>
      </c>
      <c r="L138">
        <v>6.1248092943239885E-17</v>
      </c>
      <c r="M138">
        <v>0.99984769515639127</v>
      </c>
      <c r="N138" s="19">
        <v>0</v>
      </c>
    </row>
    <row r="139" spans="3:20" ht="24" customHeight="1">
      <c r="F139" s="3">
        <f>SIN(D138)</f>
        <v>-0.49999999999999994</v>
      </c>
      <c r="G139" s="4">
        <v>0</v>
      </c>
      <c r="H139" s="3">
        <f>COS(D138)</f>
        <v>-0.86602540378443871</v>
      </c>
      <c r="I139" s="5">
        <v>0</v>
      </c>
      <c r="K139" s="18">
        <v>-0.49992384757819558</v>
      </c>
      <c r="L139">
        <v>0.86602540378443871</v>
      </c>
      <c r="M139">
        <v>-8.7262032186418079E-3</v>
      </c>
      <c r="N139" s="19">
        <v>0</v>
      </c>
    </row>
    <row r="140" spans="3:20" ht="24" customHeight="1">
      <c r="F140" s="4">
        <v>0</v>
      </c>
      <c r="G140" s="4">
        <v>0</v>
      </c>
      <c r="H140" s="4">
        <v>0</v>
      </c>
      <c r="I140" s="5">
        <v>1</v>
      </c>
      <c r="K140" s="20">
        <v>0</v>
      </c>
      <c r="L140" s="21">
        <v>0</v>
      </c>
      <c r="M140" s="21">
        <v>0</v>
      </c>
      <c r="N140" s="22">
        <v>1</v>
      </c>
    </row>
    <row r="142" spans="3:20" ht="24" customHeight="1" thickBot="1">
      <c r="C142" t="s">
        <v>24</v>
      </c>
      <c r="F142" t="s">
        <v>67</v>
      </c>
      <c r="K142" t="s">
        <v>68</v>
      </c>
      <c r="P142" t="s">
        <v>69</v>
      </c>
    </row>
    <row r="143" spans="3:20" ht="24" customHeight="1">
      <c r="C143" t="s">
        <v>27</v>
      </c>
      <c r="D143" s="23" cm="1">
        <f t="array" ref="D143:D145">-D50:D52</f>
        <v>-1</v>
      </c>
      <c r="F143" s="3">
        <v>1</v>
      </c>
      <c r="G143" s="3">
        <v>0</v>
      </c>
      <c r="H143" s="4">
        <v>0</v>
      </c>
      <c r="I143" s="5">
        <f>D143</f>
        <v>-1</v>
      </c>
      <c r="K143" s="27" cm="1">
        <f t="array" ref="K143:N146">MMULT(F143:I146,_xlfn.ANCHORARRAY(K137))</f>
        <v>-0.86589350392075415</v>
      </c>
      <c r="L143" s="28">
        <v>-0.49999999999999994</v>
      </c>
      <c r="M143" s="28">
        <v>-1.5114227331858559E-2</v>
      </c>
      <c r="N143" s="29">
        <v>-1</v>
      </c>
      <c r="P143" t="s">
        <v>5</v>
      </c>
      <c r="Q143" s="37" cm="1">
        <f t="array" ref="Q143:T146">MMULT(_xlfn.ANCHORARRAY(K143),Q113:T116)</f>
        <v>-1</v>
      </c>
      <c r="R143" s="37">
        <v>0.35507679422814964</v>
      </c>
      <c r="S143" s="37">
        <v>1.032615191342225</v>
      </c>
      <c r="T143" s="37">
        <v>6.4529223682548249</v>
      </c>
    </row>
    <row r="144" spans="3:20" ht="24" customHeight="1">
      <c r="C144" t="s">
        <v>28</v>
      </c>
      <c r="D144" s="23">
        <v>-1</v>
      </c>
      <c r="F144" s="3">
        <v>0</v>
      </c>
      <c r="G144" s="3">
        <v>1</v>
      </c>
      <c r="H144" s="4">
        <v>0</v>
      </c>
      <c r="I144" s="5">
        <f>D144</f>
        <v>-1</v>
      </c>
      <c r="K144" s="30">
        <v>-1.7452406437283512E-2</v>
      </c>
      <c r="L144">
        <v>6.1248092943239885E-17</v>
      </c>
      <c r="M144">
        <v>0.99984769515639127</v>
      </c>
      <c r="N144" s="31">
        <v>-1</v>
      </c>
      <c r="P144" t="s">
        <v>6</v>
      </c>
      <c r="Q144" s="38">
        <v>-1</v>
      </c>
      <c r="R144" s="38">
        <v>1.032615191342225</v>
      </c>
      <c r="S144" s="38">
        <v>2.0489227870133377</v>
      </c>
      <c r="T144" s="38">
        <v>10.179383552382239</v>
      </c>
    </row>
    <row r="145" spans="1:28" ht="24" customHeight="1">
      <c r="C145" t="s">
        <v>29</v>
      </c>
      <c r="D145" s="23">
        <v>-1</v>
      </c>
      <c r="F145" s="4">
        <v>0</v>
      </c>
      <c r="G145" s="4">
        <v>0</v>
      </c>
      <c r="H145" s="4">
        <v>1</v>
      </c>
      <c r="I145" s="5">
        <f>D145</f>
        <v>-1</v>
      </c>
      <c r="K145" s="30">
        <v>-0.49992384757819558</v>
      </c>
      <c r="L145">
        <v>0.86602540378443871</v>
      </c>
      <c r="M145">
        <v>-8.7262032186418079E-3</v>
      </c>
      <c r="N145" s="31">
        <v>-1</v>
      </c>
      <c r="P145" t="s">
        <v>7</v>
      </c>
      <c r="Q145" s="39">
        <v>-1</v>
      </c>
      <c r="R145" s="39">
        <v>0.35507679422814964</v>
      </c>
      <c r="S145" s="39">
        <v>1.0326151913422246</v>
      </c>
      <c r="T145" s="39">
        <v>6.452922368254824</v>
      </c>
    </row>
    <row r="146" spans="1:28" ht="24" customHeight="1" thickBot="1">
      <c r="F146" s="4">
        <v>0</v>
      </c>
      <c r="G146" s="4">
        <v>0</v>
      </c>
      <c r="H146" s="4">
        <v>0</v>
      </c>
      <c r="I146" s="5">
        <v>1</v>
      </c>
      <c r="K146" s="32">
        <v>0</v>
      </c>
      <c r="L146" s="33">
        <v>0</v>
      </c>
      <c r="M146" s="33">
        <v>0</v>
      </c>
      <c r="N146" s="34">
        <v>1</v>
      </c>
      <c r="Q146">
        <v>1</v>
      </c>
      <c r="R146">
        <v>1</v>
      </c>
      <c r="S146">
        <v>1</v>
      </c>
      <c r="T146">
        <v>1</v>
      </c>
    </row>
    <row r="148" spans="1:28" ht="24" customHeight="1" thickBot="1">
      <c r="F148" t="s">
        <v>70</v>
      </c>
      <c r="K148" t="s">
        <v>62</v>
      </c>
    </row>
    <row r="149" spans="1:28" ht="24" customHeight="1">
      <c r="F149" s="27" cm="1">
        <f t="array" ref="F149:I152">_xlfn.ANCHORARRAY(K68)</f>
        <v>-0.86589350392075415</v>
      </c>
      <c r="G149" s="28">
        <v>-1.7452406437283512E-2</v>
      </c>
      <c r="H149" s="28">
        <v>-0.49992384757819558</v>
      </c>
      <c r="I149" s="29">
        <v>-1.383269757936233</v>
      </c>
      <c r="K149" s="15" cm="1">
        <f t="array" ref="K149:N152">MMULT(_xlfn.ANCHORARRAY(F149),_xlfn.ANCHORARRAY(K143))</f>
        <v>1.0000000000000002</v>
      </c>
      <c r="L149" s="16">
        <v>0</v>
      </c>
      <c r="M149" s="16">
        <v>8.6736173798840355E-19</v>
      </c>
      <c r="N149" s="17">
        <v>2.2204460492503131E-16</v>
      </c>
      <c r="AB149" t="s">
        <v>71</v>
      </c>
    </row>
    <row r="150" spans="1:28" ht="24" customHeight="1">
      <c r="F150" s="30">
        <v>-0.49999999999999994</v>
      </c>
      <c r="G150">
        <v>6.1248092943239885E-17</v>
      </c>
      <c r="H150">
        <v>0.86602540378443871</v>
      </c>
      <c r="I150" s="31">
        <v>0.36602540378443882</v>
      </c>
      <c r="K150" s="18">
        <v>0</v>
      </c>
      <c r="L150">
        <v>1</v>
      </c>
      <c r="M150">
        <v>0</v>
      </c>
      <c r="N150" s="19">
        <v>0</v>
      </c>
    </row>
    <row r="151" spans="1:28" ht="24" customHeight="1">
      <c r="F151" s="30">
        <v>-1.5114227331858559E-2</v>
      </c>
      <c r="G151">
        <v>0.99984769515639127</v>
      </c>
      <c r="H151">
        <v>-8.7262032186418079E-3</v>
      </c>
      <c r="I151" s="31">
        <v>0.97600726460589093</v>
      </c>
      <c r="K151" s="18">
        <v>8.6736173798840355E-19</v>
      </c>
      <c r="L151">
        <v>0</v>
      </c>
      <c r="M151">
        <v>1</v>
      </c>
      <c r="N151" s="19">
        <v>0</v>
      </c>
    </row>
    <row r="152" spans="1:28" ht="24" customHeight="1" thickBot="1">
      <c r="F152" s="32">
        <v>0</v>
      </c>
      <c r="G152" s="33">
        <v>0</v>
      </c>
      <c r="H152" s="33">
        <v>0</v>
      </c>
      <c r="I152" s="34">
        <v>1</v>
      </c>
      <c r="K152" s="20">
        <v>0</v>
      </c>
      <c r="L152" s="21">
        <v>0</v>
      </c>
      <c r="M152" s="21">
        <v>0</v>
      </c>
      <c r="N152" s="22">
        <v>1</v>
      </c>
    </row>
    <row r="155" spans="1:28" s="2" customFormat="1" ht="32.1">
      <c r="A155" s="1" t="s">
        <v>72</v>
      </c>
    </row>
    <row r="157" spans="1:28" ht="24" customHeight="1">
      <c r="P157" t="s">
        <v>69</v>
      </c>
    </row>
    <row r="158" spans="1:28" ht="24" customHeight="1">
      <c r="N158" t="s">
        <v>73</v>
      </c>
      <c r="Q158" t="str" cm="1">
        <f t="array" ref="Q158:T158">Q102:T102</f>
        <v>a0</v>
      </c>
      <c r="R158" t="str">
        <v>a2</v>
      </c>
      <c r="S158" t="str">
        <v>a3</v>
      </c>
      <c r="T158" t="str">
        <v>a11</v>
      </c>
      <c r="U158" t="s">
        <v>74</v>
      </c>
      <c r="V158" t="s">
        <v>75</v>
      </c>
    </row>
    <row r="159" spans="1:28" ht="24" customHeight="1">
      <c r="P159" t="s">
        <v>5</v>
      </c>
      <c r="Q159" s="37" cm="1">
        <f t="array" ref="Q159:T161">Q143:T145</f>
        <v>-1</v>
      </c>
      <c r="R159" s="37">
        <v>0.35507679422814964</v>
      </c>
      <c r="S159" s="37">
        <v>1.032615191342225</v>
      </c>
      <c r="T159" s="37">
        <v>6.4529223682548249</v>
      </c>
      <c r="U159" s="37" cm="1">
        <f t="array" ref="U159:U161">OL</f>
        <v>-1</v>
      </c>
    </row>
    <row r="160" spans="1:28" ht="24" customHeight="1">
      <c r="P160" t="s">
        <v>6</v>
      </c>
      <c r="Q160" s="38">
        <v>-1</v>
      </c>
      <c r="R160" s="38">
        <v>1.032615191342225</v>
      </c>
      <c r="S160" s="38">
        <v>2.0489227870133377</v>
      </c>
      <c r="T160" s="38">
        <v>10.179383552382239</v>
      </c>
      <c r="U160" s="38">
        <v>-1</v>
      </c>
    </row>
    <row r="161" spans="11:21" ht="24" customHeight="1">
      <c r="P161" t="s">
        <v>7</v>
      </c>
      <c r="Q161" s="39">
        <v>-1</v>
      </c>
      <c r="R161" s="39">
        <v>0.35507679422814964</v>
      </c>
      <c r="S161" s="39">
        <v>1.0326151913422246</v>
      </c>
      <c r="T161" s="39">
        <v>6.452922368254824</v>
      </c>
      <c r="U161" s="39">
        <v>-1</v>
      </c>
    </row>
    <row r="162" spans="11:21" ht="24" customHeight="1">
      <c r="Q162">
        <v>1</v>
      </c>
      <c r="R162">
        <v>1</v>
      </c>
      <c r="S162">
        <v>1</v>
      </c>
      <c r="T162">
        <v>1</v>
      </c>
      <c r="U162">
        <v>1</v>
      </c>
    </row>
    <row r="164" spans="11:21" ht="24" customHeight="1" thickBot="1">
      <c r="K164" t="s">
        <v>43</v>
      </c>
      <c r="P164" t="s">
        <v>44</v>
      </c>
    </row>
    <row r="165" spans="11:21" ht="24" customHeight="1">
      <c r="K165" s="27" cm="1">
        <f t="array" ref="K165:N168">_xlfn.ANCHORARRAY(AD68)</f>
        <v>-0.86589350392075415</v>
      </c>
      <c r="L165" s="28">
        <v>-1.7452406437283512E-2</v>
      </c>
      <c r="M165" s="28">
        <v>-0.49992384757819558</v>
      </c>
      <c r="N165" s="29">
        <v>0</v>
      </c>
      <c r="P165" t="s">
        <v>45</v>
      </c>
      <c r="Q165" s="45" cm="1">
        <f t="array" ref="Q165:U168">MMULT(_xlfn.ANCHORARRAY(K165),Q159:U162)</f>
        <v>1.3832697579362332</v>
      </c>
      <c r="R165" s="45">
        <v>-0.50299166668404671</v>
      </c>
      <c r="S165" s="45">
        <v>-1.4461223789941873</v>
      </c>
      <c r="T165" s="45">
        <v>-8.9911680774753098</v>
      </c>
      <c r="U165" s="45">
        <v>1.3832697579362332</v>
      </c>
    </row>
    <row r="166" spans="11:21" ht="24" customHeight="1">
      <c r="K166" s="30">
        <v>-0.49999999999999994</v>
      </c>
      <c r="L166">
        <v>6.1248092943239885E-17</v>
      </c>
      <c r="M166">
        <v>0.86602540378443871</v>
      </c>
      <c r="N166" s="31">
        <v>0</v>
      </c>
      <c r="P166" t="s">
        <v>46</v>
      </c>
      <c r="Q166" s="46">
        <v>-0.36602540378443882</v>
      </c>
      <c r="R166" s="46">
        <v>0.12996712698184262</v>
      </c>
      <c r="S166" s="46">
        <v>0.37796339236498322</v>
      </c>
      <c r="T166" s="46">
        <v>2.3619335154301089</v>
      </c>
      <c r="U166" s="46">
        <v>-0.36602540378443882</v>
      </c>
    </row>
    <row r="167" spans="11:21" ht="24" customHeight="1">
      <c r="K167" s="30">
        <v>-1.5114227331858559E-2</v>
      </c>
      <c r="L167">
        <v>0.99984769515639127</v>
      </c>
      <c r="M167">
        <v>-8.7262032186418079E-3</v>
      </c>
      <c r="N167" s="31">
        <v>0</v>
      </c>
      <c r="P167" t="s">
        <v>47</v>
      </c>
      <c r="Q167" s="47">
        <v>-0.97600726460589093</v>
      </c>
      <c r="R167" s="47">
        <v>1.023992735394109</v>
      </c>
      <c r="S167" s="47">
        <v>2.0239927353941094</v>
      </c>
      <c r="T167" s="47">
        <v>10.02399273539411</v>
      </c>
      <c r="U167" s="47">
        <v>-0.97600726460589093</v>
      </c>
    </row>
    <row r="168" spans="11:21" ht="24" customHeight="1" thickBot="1">
      <c r="K168" s="32">
        <v>0</v>
      </c>
      <c r="L168" s="33">
        <v>0</v>
      </c>
      <c r="M168" s="33">
        <v>0</v>
      </c>
      <c r="N168" s="34">
        <v>1</v>
      </c>
      <c r="Q168">
        <v>1</v>
      </c>
      <c r="R168">
        <v>1</v>
      </c>
      <c r="S168">
        <v>1</v>
      </c>
      <c r="T168">
        <v>1</v>
      </c>
      <c r="U168">
        <v>1</v>
      </c>
    </row>
    <row r="170" spans="11:21" ht="24" customHeight="1" thickBot="1">
      <c r="K170" t="s">
        <v>49</v>
      </c>
    </row>
    <row r="171" spans="11:21" ht="24" customHeight="1">
      <c r="L171" s="27" cm="1">
        <f t="array" ref="L171:N173">AE74:AG76</f>
        <v>100</v>
      </c>
      <c r="M171" s="28">
        <v>0</v>
      </c>
      <c r="N171" s="29">
        <v>300</v>
      </c>
      <c r="P171" t="s">
        <v>50</v>
      </c>
      <c r="Q171" s="12" cm="1">
        <f t="array" ref="Q171:U173">MMULT(_xlfn.ANCHORARRAY(L171),Q165:U167)</f>
        <v>-154.47520358814398</v>
      </c>
      <c r="R171" s="12">
        <v>256.89865394982803</v>
      </c>
      <c r="S171" s="12">
        <v>462.58558271881418</v>
      </c>
      <c r="T171" s="12">
        <v>2108.0810128707021</v>
      </c>
      <c r="U171" s="12">
        <v>-154.47520358814398</v>
      </c>
    </row>
    <row r="172" spans="11:21" ht="24" customHeight="1">
      <c r="L172" s="30">
        <v>0</v>
      </c>
      <c r="M172">
        <v>200</v>
      </c>
      <c r="N172" s="31">
        <v>200</v>
      </c>
      <c r="P172" t="s">
        <v>51</v>
      </c>
      <c r="Q172" s="13">
        <v>-268.40653367806595</v>
      </c>
      <c r="R172" s="13">
        <v>230.79197247519033</v>
      </c>
      <c r="S172" s="13">
        <v>480.39122555181848</v>
      </c>
      <c r="T172" s="13">
        <v>2477.1852501648436</v>
      </c>
      <c r="U172" s="13">
        <v>-268.40653367806595</v>
      </c>
    </row>
    <row r="173" spans="11:21" ht="24" customHeight="1" thickBot="1">
      <c r="L173" s="32">
        <v>0</v>
      </c>
      <c r="M173" s="33">
        <v>0</v>
      </c>
      <c r="N173" s="34">
        <v>1</v>
      </c>
      <c r="P173" t="s">
        <v>12</v>
      </c>
      <c r="Q173" s="14">
        <v>-0.97600726460589093</v>
      </c>
      <c r="R173" s="14">
        <v>1.023992735394109</v>
      </c>
      <c r="S173" s="14">
        <v>2.0239927353941094</v>
      </c>
      <c r="T173" s="14">
        <v>10.02399273539411</v>
      </c>
      <c r="U173" s="14">
        <v>-0.97600726460589093</v>
      </c>
    </row>
    <row r="175" spans="11:21" ht="24" customHeight="1">
      <c r="P175" t="s">
        <v>53</v>
      </c>
    </row>
    <row r="176" spans="11:21" ht="24" customHeight="1">
      <c r="P176" t="s">
        <v>54</v>
      </c>
      <c r="Q176" s="48" cm="1">
        <f t="array" ref="Q176:U177">Q171:U172/Q173:U173</f>
        <v>158.27259610667002</v>
      </c>
      <c r="R176" s="48">
        <v>250.87937157186397</v>
      </c>
      <c r="S176" s="48">
        <v>228.55100941295626</v>
      </c>
      <c r="T176" s="48">
        <v>210.30352560284646</v>
      </c>
      <c r="U176" s="48">
        <v>158.27259610667002</v>
      </c>
    </row>
    <row r="177" spans="16:21" ht="24" customHeight="1">
      <c r="P177" t="s">
        <v>55</v>
      </c>
      <c r="Q177" s="49">
        <v>275.00464741566014</v>
      </c>
      <c r="R177" s="49">
        <v>225.38438457413892</v>
      </c>
      <c r="S177" s="49">
        <v>237.34829535259041</v>
      </c>
      <c r="T177" s="49">
        <v>247.12560309606499</v>
      </c>
      <c r="U177" s="49">
        <v>275.00464741566014</v>
      </c>
    </row>
    <row r="195" spans="1:33" s="2" customFormat="1" ht="32.1">
      <c r="A195" s="1" t="s">
        <v>76</v>
      </c>
    </row>
    <row r="198" spans="1:33" ht="24" customHeight="1">
      <c r="Q198" t="s">
        <v>1</v>
      </c>
      <c r="R198" t="s">
        <v>1</v>
      </c>
      <c r="S198" t="s">
        <v>1</v>
      </c>
      <c r="T198" t="s">
        <v>1</v>
      </c>
      <c r="X198" t="s">
        <v>2</v>
      </c>
      <c r="Y198" t="s">
        <v>2</v>
      </c>
      <c r="Z198" t="s">
        <v>2</v>
      </c>
      <c r="AA198" t="s">
        <v>2</v>
      </c>
      <c r="AD198" t="s">
        <v>3</v>
      </c>
      <c r="AE198" t="s">
        <v>3</v>
      </c>
      <c r="AF198" t="s">
        <v>3</v>
      </c>
      <c r="AG198" t="s">
        <v>3</v>
      </c>
    </row>
    <row r="199" spans="1:33" ht="24" customHeight="1">
      <c r="P199" t="s">
        <v>52</v>
      </c>
      <c r="W199" t="s">
        <v>52</v>
      </c>
      <c r="AC199" t="s">
        <v>52</v>
      </c>
    </row>
    <row r="200" spans="1:33" ht="24" customHeight="1">
      <c r="P200" t="s">
        <v>54</v>
      </c>
      <c r="Q200" s="43" cm="1">
        <f t="array" ref="Q200:Q201">Q79:Q80</f>
        <v>205.68692876898601</v>
      </c>
      <c r="R200" s="43" cm="1">
        <f t="array" ref="R200:R201">_xlfn.ANCHORARRAY(Q200)</f>
        <v>205.68692876898601</v>
      </c>
      <c r="S200" s="43" cm="1">
        <f t="array" ref="S200:S201">_xlfn.ANCHORARRAY(R200)</f>
        <v>205.68692876898601</v>
      </c>
      <c r="T200" s="43" cm="1">
        <f t="array" ref="T200:T201">_xlfn.ANCHORARRAY(S200)</f>
        <v>205.68692876898601</v>
      </c>
      <c r="W200" t="s">
        <v>54</v>
      </c>
      <c r="X200" s="43" cm="1">
        <f t="array" ref="X200:X201">R79:R80</f>
        <v>264.71586454876581</v>
      </c>
      <c r="Y200" s="43" cm="1">
        <f t="array" ref="Y200:Y201">_xlfn.ANCHORARRAY(X200)</f>
        <v>264.71586454876581</v>
      </c>
      <c r="Z200" s="43" cm="1">
        <f t="array" ref="Z200:Z201">_xlfn.ANCHORARRAY(Y200)</f>
        <v>264.71586454876581</v>
      </c>
      <c r="AA200" s="43" cm="1">
        <f t="array" ref="AA200:AA201">_xlfn.ANCHORARRAY(Z200)</f>
        <v>264.71586454876581</v>
      </c>
      <c r="AC200" t="s">
        <v>54</v>
      </c>
      <c r="AD200" s="43" cm="1">
        <f t="array" ref="AD200:AD201">S79:S80</f>
        <v>273.13727083675491</v>
      </c>
      <c r="AE200" s="43" cm="1">
        <f t="array" ref="AE200:AE201">_xlfn.ANCHORARRAY(AD200)</f>
        <v>273.13727083675491</v>
      </c>
      <c r="AF200" s="43" cm="1">
        <f t="array" ref="AF200:AF201">_xlfn.ANCHORARRAY(AE200)</f>
        <v>273.13727083675491</v>
      </c>
      <c r="AG200" s="43" cm="1">
        <f t="array" ref="AG200:AG201">_xlfn.ANCHORARRAY(AF200)</f>
        <v>273.13727083675491</v>
      </c>
    </row>
    <row r="201" spans="1:33" ht="24" customHeight="1">
      <c r="P201" t="s">
        <v>55</v>
      </c>
      <c r="Q201" s="44">
        <v>249.59925307662814</v>
      </c>
      <c r="R201" s="44">
        <v>249.59925307662814</v>
      </c>
      <c r="S201" s="44">
        <v>249.59925307662814</v>
      </c>
      <c r="T201" s="44">
        <v>249.59925307662814</v>
      </c>
      <c r="W201" t="s">
        <v>55</v>
      </c>
      <c r="X201" s="44">
        <v>316.16352378199127</v>
      </c>
      <c r="Y201" s="44">
        <v>316.16352378199127</v>
      </c>
      <c r="Z201" s="44">
        <v>316.16352378199127</v>
      </c>
      <c r="AA201" s="44">
        <v>316.16352378199127</v>
      </c>
      <c r="AC201" t="s">
        <v>55</v>
      </c>
      <c r="AD201" s="44">
        <v>286.99535978740278</v>
      </c>
      <c r="AE201" s="44">
        <v>286.99535978740278</v>
      </c>
      <c r="AF201" s="44">
        <v>286.99535978740278</v>
      </c>
      <c r="AG201" s="44">
        <v>286.99535978740278</v>
      </c>
    </row>
    <row r="203" spans="1:33" ht="24" customHeight="1">
      <c r="Q203" t="str">
        <f>Q198&amp;Q206</f>
        <v>a0</v>
      </c>
      <c r="R203" t="str">
        <f>R198&amp;R206</f>
        <v>a2</v>
      </c>
      <c r="S203" t="str">
        <f>S198&amp;S206</f>
        <v>a3</v>
      </c>
      <c r="T203" t="str">
        <f>T198&amp;T206</f>
        <v>a11</v>
      </c>
      <c r="X203" t="str">
        <f>X198&amp;X206</f>
        <v>b0</v>
      </c>
      <c r="Y203" t="str">
        <f>Y198&amp;Y206</f>
        <v>b2</v>
      </c>
      <c r="Z203" t="str">
        <f>Z198&amp;Z206</f>
        <v>b3</v>
      </c>
      <c r="AA203" t="str">
        <f>AA198&amp;AA206</f>
        <v>b11</v>
      </c>
      <c r="AD203" t="str">
        <f>AD198&amp;AD206</f>
        <v>c0</v>
      </c>
      <c r="AE203" t="str">
        <f>AE198&amp;AE206</f>
        <v>c2</v>
      </c>
      <c r="AF203" t="str">
        <f>AF198&amp;AF206</f>
        <v>c3</v>
      </c>
      <c r="AG203" t="str">
        <f>AG198&amp;AG206</f>
        <v>c11</v>
      </c>
    </row>
    <row r="204" spans="1:33" ht="24" customHeight="1">
      <c r="P204" t="s">
        <v>50</v>
      </c>
      <c r="Q204" s="12" cm="1">
        <f t="array" ref="Q204:T205">Q200:T201*Q206:T206</f>
        <v>0</v>
      </c>
      <c r="R204" s="12">
        <v>411.37385753797201</v>
      </c>
      <c r="S204" s="12">
        <v>617.06078630695799</v>
      </c>
      <c r="T204" s="12">
        <v>2262.5562164588459</v>
      </c>
      <c r="W204" t="s">
        <v>50</v>
      </c>
      <c r="X204" s="12" cm="1">
        <f t="array" ref="X204:AA205">X200:AA201*X206:AA206</f>
        <v>0</v>
      </c>
      <c r="Y204" s="12">
        <v>529.43172909753162</v>
      </c>
      <c r="Z204" s="12">
        <v>794.14759364629742</v>
      </c>
      <c r="AA204" s="12">
        <v>2911.874510036424</v>
      </c>
      <c r="AC204" t="s">
        <v>50</v>
      </c>
      <c r="AD204" s="12" cm="1">
        <f t="array" ref="AD204:AG205">AD200:AG201*AD206:AG206</f>
        <v>0</v>
      </c>
      <c r="AE204" s="12">
        <v>546.27454167350982</v>
      </c>
      <c r="AF204" s="12">
        <v>819.41181251026478</v>
      </c>
      <c r="AG204" s="12">
        <v>3004.5099792043038</v>
      </c>
    </row>
    <row r="205" spans="1:33" ht="24" customHeight="1">
      <c r="P205" t="s">
        <v>51</v>
      </c>
      <c r="Q205" s="14">
        <v>0</v>
      </c>
      <c r="R205" s="14">
        <v>499.19850615325629</v>
      </c>
      <c r="S205" s="14">
        <v>748.79775922988438</v>
      </c>
      <c r="T205" s="14">
        <v>2745.5917838429095</v>
      </c>
      <c r="W205" t="s">
        <v>51</v>
      </c>
      <c r="X205" s="14">
        <v>0</v>
      </c>
      <c r="Y205" s="14">
        <v>632.32704756398255</v>
      </c>
      <c r="Z205" s="14">
        <v>948.49057134597388</v>
      </c>
      <c r="AA205" s="14">
        <v>3477.7987616019041</v>
      </c>
      <c r="AC205" t="s">
        <v>51</v>
      </c>
      <c r="AD205" s="14">
        <v>0</v>
      </c>
      <c r="AE205" s="14">
        <v>573.99071957480555</v>
      </c>
      <c r="AF205" s="14">
        <v>860.98607936220833</v>
      </c>
      <c r="AG205" s="14">
        <v>3156.9489576614305</v>
      </c>
    </row>
    <row r="206" spans="1:33" ht="24" customHeight="1">
      <c r="P206" t="s">
        <v>12</v>
      </c>
      <c r="Q206">
        <v>0</v>
      </c>
      <c r="R206">
        <v>2</v>
      </c>
      <c r="S206">
        <v>3</v>
      </c>
      <c r="T206">
        <v>11</v>
      </c>
      <c r="W206" t="s">
        <v>12</v>
      </c>
      <c r="X206">
        <v>0</v>
      </c>
      <c r="Y206">
        <v>2</v>
      </c>
      <c r="Z206">
        <v>3</v>
      </c>
      <c r="AA206">
        <v>11</v>
      </c>
      <c r="AC206" t="s">
        <v>12</v>
      </c>
      <c r="AD206">
        <v>0</v>
      </c>
      <c r="AE206">
        <v>2</v>
      </c>
      <c r="AF206">
        <v>3</v>
      </c>
      <c r="AG206">
        <v>11</v>
      </c>
    </row>
    <row r="208" spans="1:33" ht="24" customHeight="1" thickBot="1">
      <c r="L208" t="s">
        <v>60</v>
      </c>
      <c r="P208" t="s">
        <v>41</v>
      </c>
      <c r="W208" t="s">
        <v>41</v>
      </c>
      <c r="AC208" t="s">
        <v>41</v>
      </c>
    </row>
    <row r="209" spans="11:33" ht="24" customHeight="1">
      <c r="L209" s="35" cm="1">
        <f t="array" ref="L209:N211">_xlfn.ANCHORARRAY(L113)</f>
        <v>0.01</v>
      </c>
      <c r="M209" s="28">
        <v>0</v>
      </c>
      <c r="N209" s="29">
        <v>-3</v>
      </c>
      <c r="P209" t="s">
        <v>45</v>
      </c>
      <c r="Q209" s="40" cm="1">
        <f t="array" ref="Q209:T211">MMULT(_xlfn.ANCHORARRAY(L209),Q204:T206)</f>
        <v>0</v>
      </c>
      <c r="R209" s="40">
        <v>-1.8862614246202796</v>
      </c>
      <c r="S209" s="40">
        <v>-2.8293921369304202</v>
      </c>
      <c r="T209" s="40">
        <v>-10.374437835411541</v>
      </c>
      <c r="W209" t="s">
        <v>45</v>
      </c>
      <c r="X209" s="40" cm="1">
        <f t="array" ref="X209:AA211">MMULT(_xlfn.ANCHORARRAY(L209),X204:AA206)</f>
        <v>0</v>
      </c>
      <c r="Y209" s="40">
        <v>-0.70568270902468377</v>
      </c>
      <c r="Z209" s="40">
        <v>-1.0585240635370257</v>
      </c>
      <c r="AA209" s="40">
        <v>-3.8812548996357599</v>
      </c>
      <c r="AC209" t="s">
        <v>45</v>
      </c>
      <c r="AD209" s="40" cm="1">
        <f t="array" ref="AD209:AG211">MMULT(_xlfn.ANCHORARRAY(L209),AD204:AG206)</f>
        <v>0</v>
      </c>
      <c r="AE209" s="40">
        <v>-0.53725458326490205</v>
      </c>
      <c r="AF209" s="40">
        <v>-0.80588187489735219</v>
      </c>
      <c r="AG209" s="40">
        <v>-2.9549002079569604</v>
      </c>
    </row>
    <row r="210" spans="11:33" ht="24" customHeight="1">
      <c r="L210" s="30">
        <v>0</v>
      </c>
      <c r="M210" s="36">
        <v>5.0000000000000001E-3</v>
      </c>
      <c r="N210" s="31">
        <v>-1</v>
      </c>
      <c r="P210" t="s">
        <v>46</v>
      </c>
      <c r="Q210" s="41">
        <v>0</v>
      </c>
      <c r="R210" s="41">
        <v>0.49599253076628136</v>
      </c>
      <c r="S210" s="41">
        <v>0.74398879614942182</v>
      </c>
      <c r="T210" s="41">
        <v>2.7279589192145473</v>
      </c>
      <c r="W210" t="s">
        <v>46</v>
      </c>
      <c r="X210" s="41">
        <v>0</v>
      </c>
      <c r="Y210" s="41">
        <v>1.1616352378199126</v>
      </c>
      <c r="Z210" s="41">
        <v>1.7424528567298694</v>
      </c>
      <c r="AA210" s="41">
        <v>6.3889938080095199</v>
      </c>
      <c r="AC210" t="s">
        <v>46</v>
      </c>
      <c r="AD210" s="41">
        <v>0</v>
      </c>
      <c r="AE210" s="41">
        <v>0.86995359787402782</v>
      </c>
      <c r="AF210" s="41">
        <v>1.3049303968110415</v>
      </c>
      <c r="AG210" s="41">
        <v>4.7847447883071528</v>
      </c>
    </row>
    <row r="211" spans="11:33" ht="24" customHeight="1" thickBot="1">
      <c r="L211" s="32">
        <v>0</v>
      </c>
      <c r="M211" s="33">
        <v>0</v>
      </c>
      <c r="N211" s="34">
        <v>1</v>
      </c>
      <c r="P211" t="s">
        <v>47</v>
      </c>
      <c r="Q211" s="42">
        <v>0</v>
      </c>
      <c r="R211" s="42">
        <v>2</v>
      </c>
      <c r="S211" s="42">
        <v>3</v>
      </c>
      <c r="T211" s="42">
        <v>11</v>
      </c>
      <c r="W211" t="s">
        <v>47</v>
      </c>
      <c r="X211" s="42">
        <v>0</v>
      </c>
      <c r="Y211" s="42">
        <v>2</v>
      </c>
      <c r="Z211" s="42">
        <v>3</v>
      </c>
      <c r="AA211" s="42">
        <v>11</v>
      </c>
      <c r="AC211" t="s">
        <v>47</v>
      </c>
      <c r="AD211" s="42">
        <v>0</v>
      </c>
      <c r="AE211" s="42">
        <v>2</v>
      </c>
      <c r="AF211" s="42">
        <v>3</v>
      </c>
      <c r="AG211" s="42">
        <v>11</v>
      </c>
    </row>
    <row r="212" spans="11:33" ht="24" customHeight="1">
      <c r="Q212">
        <v>1</v>
      </c>
      <c r="R212">
        <v>1</v>
      </c>
      <c r="S212">
        <v>1</v>
      </c>
      <c r="T212">
        <v>1</v>
      </c>
      <c r="X212">
        <v>1</v>
      </c>
      <c r="Y212">
        <v>1</v>
      </c>
      <c r="Z212">
        <v>1</v>
      </c>
      <c r="AA212">
        <v>1</v>
      </c>
      <c r="AD212">
        <v>1</v>
      </c>
      <c r="AE212">
        <v>1</v>
      </c>
      <c r="AF212">
        <v>1</v>
      </c>
      <c r="AG212">
        <v>1</v>
      </c>
    </row>
    <row r="214" spans="11:33" ht="24" customHeight="1" thickBot="1">
      <c r="K214" t="s">
        <v>68</v>
      </c>
      <c r="P214" t="s">
        <v>69</v>
      </c>
      <c r="W214" t="s">
        <v>69</v>
      </c>
      <c r="AC214" t="s">
        <v>69</v>
      </c>
    </row>
    <row r="215" spans="11:33" ht="24" customHeight="1">
      <c r="K215" s="27" cm="1">
        <f t="array" ref="K215:N218">_xlfn.ANCHORARRAY(K143)</f>
        <v>-0.86589350392075415</v>
      </c>
      <c r="L215" s="28">
        <v>-0.49999999999999994</v>
      </c>
      <c r="M215" s="28">
        <v>-1.5114227331858559E-2</v>
      </c>
      <c r="N215" s="29">
        <v>-1</v>
      </c>
      <c r="P215" t="s">
        <v>5</v>
      </c>
      <c r="Q215" s="37" cm="1">
        <f t="array" ref="Q215:T218">MMULT(_xlfn.ANCHORARRAY(K215),Q209:T212)</f>
        <v>-1</v>
      </c>
      <c r="R215" s="37">
        <v>0.35507679422814964</v>
      </c>
      <c r="S215" s="37">
        <v>1.032615191342225</v>
      </c>
      <c r="T215" s="37">
        <v>6.4529223682548249</v>
      </c>
      <c r="W215" t="s">
        <v>5</v>
      </c>
      <c r="X215" s="37" cm="1">
        <f t="array" ref="X215:AA218">MMULT(_xlfn.ANCHORARRAY(K215),X209:AA212)</f>
        <v>-1</v>
      </c>
      <c r="Y215" s="37">
        <v>-0.99999999999999989</v>
      </c>
      <c r="Z215" s="37">
        <v>-1</v>
      </c>
      <c r="AA215" s="37">
        <v>-1.0000000000000007</v>
      </c>
      <c r="AC215" t="s">
        <v>5</v>
      </c>
      <c r="AD215" s="37" cm="1">
        <f t="array" ref="AD215:AG218">MMULT(_xlfn.ANCHORARRAY(K215),AD209:AG212)</f>
        <v>-1</v>
      </c>
      <c r="AE215" s="37">
        <v>-1.0000000000000004</v>
      </c>
      <c r="AF215" s="37">
        <v>-1.0000000000000013</v>
      </c>
      <c r="AG215" s="37">
        <v>-1.0000000000000024</v>
      </c>
    </row>
    <row r="216" spans="11:33" ht="24" customHeight="1">
      <c r="K216" s="30">
        <v>-1.7452406437283512E-2</v>
      </c>
      <c r="L216">
        <v>6.1248092943239885E-17</v>
      </c>
      <c r="M216">
        <v>0.99984769515639127</v>
      </c>
      <c r="N216" s="31">
        <v>-1</v>
      </c>
      <c r="P216" t="s">
        <v>6</v>
      </c>
      <c r="Q216" s="38">
        <v>-1</v>
      </c>
      <c r="R216" s="38">
        <v>1.032615191342225</v>
      </c>
      <c r="S216" s="38">
        <v>2.0489227870133377</v>
      </c>
      <c r="T216" s="38">
        <v>10.179383552382239</v>
      </c>
      <c r="W216" t="s">
        <v>6</v>
      </c>
      <c r="X216" s="38">
        <v>-1</v>
      </c>
      <c r="Y216" s="38">
        <v>1.0120112517664448</v>
      </c>
      <c r="Z216" s="38">
        <v>2.0180168776496674</v>
      </c>
      <c r="AA216" s="38">
        <v>10.066061884715445</v>
      </c>
      <c r="AC216" t="s">
        <v>6</v>
      </c>
      <c r="AD216" s="38">
        <v>-1</v>
      </c>
      <c r="AE216" s="38">
        <v>1.0090717756602152</v>
      </c>
      <c r="AF216" s="38">
        <v>2.0136076634903226</v>
      </c>
      <c r="AG216" s="38">
        <v>10.049894766131183</v>
      </c>
    </row>
    <row r="217" spans="11:33" ht="24" customHeight="1">
      <c r="K217" s="30">
        <v>-0.49992384757819558</v>
      </c>
      <c r="L217">
        <v>0.86602540378443871</v>
      </c>
      <c r="M217">
        <v>-8.7262032186418079E-3</v>
      </c>
      <c r="N217" s="31">
        <v>-1</v>
      </c>
      <c r="P217" t="s">
        <v>7</v>
      </c>
      <c r="Q217" s="39">
        <v>-1</v>
      </c>
      <c r="R217" s="39">
        <v>0.35507679422814964</v>
      </c>
      <c r="S217" s="39">
        <v>1.0326151913422246</v>
      </c>
      <c r="T217" s="39">
        <v>6.452922368254824</v>
      </c>
      <c r="W217" t="s">
        <v>7</v>
      </c>
      <c r="X217" s="39">
        <v>-1</v>
      </c>
      <c r="Y217" s="39">
        <v>0.34134083451096298</v>
      </c>
      <c r="Z217" s="39">
        <v>1.0120112517664444</v>
      </c>
      <c r="AA217" s="39">
        <v>6.3773745898102954</v>
      </c>
      <c r="AC217" t="s">
        <v>7</v>
      </c>
      <c r="AD217" s="39">
        <v>-1</v>
      </c>
      <c r="AE217" s="39">
        <v>4.5358878301064998E-3</v>
      </c>
      <c r="AF217" s="39">
        <v>0.50680383174515908</v>
      </c>
      <c r="AG217" s="39">
        <v>4.5249473830655846</v>
      </c>
    </row>
    <row r="218" spans="11:33" ht="24" customHeight="1" thickBot="1">
      <c r="K218" s="32">
        <v>0</v>
      </c>
      <c r="L218" s="33">
        <v>0</v>
      </c>
      <c r="M218" s="33">
        <v>0</v>
      </c>
      <c r="N218" s="34">
        <v>1</v>
      </c>
      <c r="Q218">
        <v>1</v>
      </c>
      <c r="R218">
        <v>1</v>
      </c>
      <c r="S218">
        <v>1</v>
      </c>
      <c r="T218">
        <v>1</v>
      </c>
      <c r="X218">
        <v>1</v>
      </c>
      <c r="Y218">
        <v>1</v>
      </c>
      <c r="Z218">
        <v>1</v>
      </c>
      <c r="AA218">
        <v>1</v>
      </c>
      <c r="AD218">
        <v>1</v>
      </c>
      <c r="AE218">
        <v>1</v>
      </c>
      <c r="AF218">
        <v>1</v>
      </c>
      <c r="AG218">
        <v>1</v>
      </c>
    </row>
    <row r="220" spans="11:33" ht="24" customHeight="1" thickBot="1">
      <c r="K220" t="s">
        <v>43</v>
      </c>
      <c r="P220" t="s">
        <v>44</v>
      </c>
      <c r="W220" t="s">
        <v>44</v>
      </c>
      <c r="AC220" t="s">
        <v>44</v>
      </c>
    </row>
    <row r="221" spans="11:33" ht="24" customHeight="1">
      <c r="K221" s="27" cm="1">
        <f t="array" ref="K221:N224">_xlfn.ANCHORARRAY(K165)</f>
        <v>-0.86589350392075415</v>
      </c>
      <c r="L221" s="28">
        <v>-1.7452406437283512E-2</v>
      </c>
      <c r="M221" s="28">
        <v>-0.49992384757819558</v>
      </c>
      <c r="N221" s="29">
        <v>0</v>
      </c>
      <c r="P221" t="s">
        <v>45</v>
      </c>
      <c r="Q221" s="45" cm="1">
        <f t="array" ref="Q221:T224">MMULT(_xlfn.ANCHORARRAY(K221),_xlfn.ANCHORARRAY(Q215))</f>
        <v>1.3832697579362332</v>
      </c>
      <c r="R221" s="45">
        <v>-0.50299166668404671</v>
      </c>
      <c r="S221" s="45">
        <v>-1.4461223789941873</v>
      </c>
      <c r="T221" s="45">
        <v>-8.9911680774753098</v>
      </c>
      <c r="W221" t="s">
        <v>45</v>
      </c>
      <c r="X221" s="45" cm="1">
        <f t="array" ref="X221:AA224">MMULT(_xlfn.ANCHORARRAY(K221),_xlfn.ANCHORARRAY(X215))</f>
        <v>1.3832697579362332</v>
      </c>
      <c r="Y221" s="45">
        <v>0.67758704891154919</v>
      </c>
      <c r="Z221" s="45">
        <v>0.32474569439920753</v>
      </c>
      <c r="AA221" s="45">
        <v>-2.4979851416995271</v>
      </c>
      <c r="AC221" t="s">
        <v>45</v>
      </c>
      <c r="AD221" s="45" cm="1">
        <f t="array" ref="AD221:AG224">MMULT(_xlfn.ANCHORARRAY(K221),_xlfn.ANCHORARRAY(AD215))</f>
        <v>1.3832697579362332</v>
      </c>
      <c r="AE221" s="45">
        <v>0.84601517467133114</v>
      </c>
      <c r="AF221" s="45">
        <v>0.577387883038881</v>
      </c>
      <c r="AG221" s="45">
        <v>-1.5716304500207279</v>
      </c>
    </row>
    <row r="222" spans="11:33" ht="24" customHeight="1">
      <c r="K222" s="30">
        <v>-0.49999999999999994</v>
      </c>
      <c r="L222">
        <v>6.1248092943239885E-17</v>
      </c>
      <c r="M222">
        <v>0.86602540378443871</v>
      </c>
      <c r="N222" s="31">
        <v>0</v>
      </c>
      <c r="P222" t="s">
        <v>46</v>
      </c>
      <c r="Q222" s="46">
        <v>-0.36602540378443882</v>
      </c>
      <c r="R222" s="46">
        <v>0.12996712698184262</v>
      </c>
      <c r="S222" s="46">
        <v>0.37796339236498322</v>
      </c>
      <c r="T222" s="46">
        <v>2.3619335154301089</v>
      </c>
      <c r="W222" t="s">
        <v>46</v>
      </c>
      <c r="X222" s="46">
        <v>-0.36602540378443882</v>
      </c>
      <c r="Y222" s="46">
        <v>0.79560983403547392</v>
      </c>
      <c r="Z222" s="46">
        <v>1.3764274529454303</v>
      </c>
      <c r="AA222" s="46">
        <v>6.0229684042250815</v>
      </c>
      <c r="AC222" t="s">
        <v>46</v>
      </c>
      <c r="AD222" s="46">
        <v>-0.36602540378443882</v>
      </c>
      <c r="AE222" s="46">
        <v>0.50392819408958922</v>
      </c>
      <c r="AF222" s="46">
        <v>0.93890499302660291</v>
      </c>
      <c r="AG222" s="46">
        <v>4.4187193845227135</v>
      </c>
    </row>
    <row r="223" spans="11:33" ht="24" customHeight="1">
      <c r="K223" s="30">
        <v>-1.5114227331858559E-2</v>
      </c>
      <c r="L223">
        <v>0.99984769515639127</v>
      </c>
      <c r="M223">
        <v>-8.7262032186418079E-3</v>
      </c>
      <c r="N223" s="31">
        <v>0</v>
      </c>
      <c r="P223" t="s">
        <v>47</v>
      </c>
      <c r="Q223" s="47">
        <v>-0.97600726460589093</v>
      </c>
      <c r="R223" s="47">
        <v>1.023992735394109</v>
      </c>
      <c r="S223" s="47">
        <v>2.0239927353941094</v>
      </c>
      <c r="T223" s="47">
        <v>10.02399273539411</v>
      </c>
      <c r="W223" t="s">
        <v>47</v>
      </c>
      <c r="X223" s="47">
        <v>-0.97600726460589093</v>
      </c>
      <c r="Y223" s="47">
        <v>1.0239927353941094</v>
      </c>
      <c r="Z223" s="47">
        <v>2.0239927353941098</v>
      </c>
      <c r="AA223" s="47">
        <v>10.02399273539411</v>
      </c>
      <c r="AC223" t="s">
        <v>47</v>
      </c>
      <c r="AD223" s="47">
        <v>-0.97600726460589093</v>
      </c>
      <c r="AE223" s="47">
        <v>1.0239927353941094</v>
      </c>
      <c r="AF223" s="47">
        <v>2.0239927353941094</v>
      </c>
      <c r="AG223" s="47">
        <v>10.023992735394112</v>
      </c>
    </row>
    <row r="224" spans="11:33" ht="24" customHeight="1" thickBot="1">
      <c r="K224" s="32">
        <v>0</v>
      </c>
      <c r="L224" s="33">
        <v>0</v>
      </c>
      <c r="M224" s="33">
        <v>0</v>
      </c>
      <c r="N224" s="34">
        <v>1</v>
      </c>
      <c r="Q224">
        <v>1</v>
      </c>
      <c r="R224">
        <v>1</v>
      </c>
      <c r="S224">
        <v>1</v>
      </c>
      <c r="T224">
        <v>1</v>
      </c>
      <c r="X224">
        <v>1</v>
      </c>
      <c r="Y224">
        <v>1</v>
      </c>
      <c r="Z224">
        <v>1</v>
      </c>
      <c r="AA224">
        <v>1</v>
      </c>
      <c r="AD224">
        <v>1</v>
      </c>
      <c r="AE224">
        <v>1</v>
      </c>
      <c r="AF224">
        <v>1</v>
      </c>
      <c r="AG224">
        <v>1</v>
      </c>
    </row>
    <row r="226" spans="11:33" ht="24" customHeight="1" thickBot="1">
      <c r="K226" t="s">
        <v>49</v>
      </c>
    </row>
    <row r="227" spans="11:33" ht="24" customHeight="1">
      <c r="L227" s="27" cm="1">
        <f t="array" ref="L227:N229">_xlfn.ANCHORARRAY(L171)</f>
        <v>100</v>
      </c>
      <c r="M227" s="28">
        <v>0</v>
      </c>
      <c r="N227" s="29">
        <v>300</v>
      </c>
      <c r="P227" t="s">
        <v>50</v>
      </c>
      <c r="Q227" s="12" cm="1">
        <f t="array" ref="Q227:T229">MMULT(_xlfn.ANCHORARRAY(L227),Q221:T223)</f>
        <v>-154.47520358814398</v>
      </c>
      <c r="R227" s="12">
        <v>256.89865394982803</v>
      </c>
      <c r="S227" s="12">
        <v>462.58558271881418</v>
      </c>
      <c r="T227" s="12">
        <v>2108.0810128707021</v>
      </c>
      <c r="W227" t="s">
        <v>50</v>
      </c>
      <c r="X227" s="12" cm="1">
        <f t="array" ref="X227:AA229">MMULT(_xlfn.ANCHORARRAY(L227),X221:AA223)</f>
        <v>-154.47520358814398</v>
      </c>
      <c r="Y227" s="12">
        <v>374.95652550938775</v>
      </c>
      <c r="Z227" s="12">
        <v>639.67239005815372</v>
      </c>
      <c r="AA227" s="12">
        <v>2757.3993064482802</v>
      </c>
      <c r="AC227" t="s">
        <v>50</v>
      </c>
      <c r="AD227" s="12" cm="1">
        <f t="array" ref="AD227:AG229">MMULT(_xlfn.ANCHORARRAY(L227),AD221:AG223)</f>
        <v>-154.47520358814398</v>
      </c>
      <c r="AE227" s="12">
        <v>391.79933808536589</v>
      </c>
      <c r="AF227" s="12">
        <v>664.93660892212097</v>
      </c>
      <c r="AG227" s="12">
        <v>2850.0347756161605</v>
      </c>
    </row>
    <row r="228" spans="11:33" ht="24" customHeight="1">
      <c r="L228" s="30">
        <v>0</v>
      </c>
      <c r="M228">
        <v>200</v>
      </c>
      <c r="N228" s="31">
        <v>200</v>
      </c>
      <c r="P228" t="s">
        <v>51</v>
      </c>
      <c r="Q228" s="13">
        <v>-268.40653367806595</v>
      </c>
      <c r="R228" s="13">
        <v>230.79197247519033</v>
      </c>
      <c r="S228" s="13">
        <v>480.39122555181848</v>
      </c>
      <c r="T228" s="13">
        <v>2477.1852501648436</v>
      </c>
      <c r="W228" t="s">
        <v>51</v>
      </c>
      <c r="X228" s="13">
        <v>-268.40653367806595</v>
      </c>
      <c r="Y228" s="13">
        <v>363.92051388591665</v>
      </c>
      <c r="Z228" s="13">
        <v>680.08403766790798</v>
      </c>
      <c r="AA228" s="13">
        <v>3209.3922279238382</v>
      </c>
      <c r="AC228" t="s">
        <v>51</v>
      </c>
      <c r="AD228" s="13">
        <v>-268.40653367806595</v>
      </c>
      <c r="AE228" s="13">
        <v>305.58418589673971</v>
      </c>
      <c r="AF228" s="13">
        <v>592.57954568414243</v>
      </c>
      <c r="AG228" s="13">
        <v>2888.5424239833651</v>
      </c>
    </row>
    <row r="229" spans="11:33" ht="24" customHeight="1" thickBot="1">
      <c r="L229" s="32">
        <v>0</v>
      </c>
      <c r="M229" s="33">
        <v>0</v>
      </c>
      <c r="N229" s="34">
        <v>1</v>
      </c>
      <c r="P229" t="s">
        <v>12</v>
      </c>
      <c r="Q229" s="14">
        <v>-0.97600726460589093</v>
      </c>
      <c r="R229" s="14">
        <v>1.023992735394109</v>
      </c>
      <c r="S229" s="14">
        <v>2.0239927353941094</v>
      </c>
      <c r="T229" s="14">
        <v>10.02399273539411</v>
      </c>
      <c r="W229" t="s">
        <v>12</v>
      </c>
      <c r="X229" s="14">
        <v>-0.97600726460589093</v>
      </c>
      <c r="Y229" s="14">
        <v>1.0239927353941094</v>
      </c>
      <c r="Z229" s="14">
        <v>2.0239927353941098</v>
      </c>
      <c r="AA229" s="14">
        <v>10.02399273539411</v>
      </c>
      <c r="AC229" t="s">
        <v>12</v>
      </c>
      <c r="AD229" s="14">
        <v>-0.97600726460589093</v>
      </c>
      <c r="AE229" s="14">
        <v>1.0239927353941094</v>
      </c>
      <c r="AF229" s="14">
        <v>2.0239927353941094</v>
      </c>
      <c r="AG229" s="14">
        <v>10.023992735394112</v>
      </c>
    </row>
    <row r="231" spans="11:33" ht="24" customHeight="1">
      <c r="P231" t="s">
        <v>53</v>
      </c>
      <c r="W231" t="s">
        <v>53</v>
      </c>
      <c r="AC231" t="s">
        <v>53</v>
      </c>
    </row>
    <row r="232" spans="11:33" ht="24" customHeight="1">
      <c r="P232" t="s">
        <v>54</v>
      </c>
      <c r="Q232" s="48" cm="1">
        <f t="array" ref="Q232:T233">Q227:T228/Q229:T229</f>
        <v>158.27259610667002</v>
      </c>
      <c r="R232" s="48">
        <v>250.87937157186397</v>
      </c>
      <c r="S232" s="48">
        <v>228.55100941295626</v>
      </c>
      <c r="T232" s="48">
        <v>210.30352560284646</v>
      </c>
      <c r="W232" t="s">
        <v>54</v>
      </c>
      <c r="X232" s="48" cm="1">
        <f t="array" ref="X232:AA233">X227:AA228/X229:AA229</f>
        <v>158.27259610667002</v>
      </c>
      <c r="Y232" s="48">
        <v>366.17107968551778</v>
      </c>
      <c r="Z232" s="48">
        <v>316.04480533552771</v>
      </c>
      <c r="AA232" s="48">
        <v>275.07993862685782</v>
      </c>
      <c r="AC232" t="s">
        <v>54</v>
      </c>
      <c r="AD232" s="48" cm="1">
        <f t="array" ref="AD232:AG233">AD227:AG228/AD229:AG229</f>
        <v>158.27259610667002</v>
      </c>
      <c r="AE232" s="48">
        <v>382.61925553072604</v>
      </c>
      <c r="AF232" s="48">
        <v>328.52717171074494</v>
      </c>
      <c r="AG232" s="48">
        <v>284.32131295874348</v>
      </c>
    </row>
    <row r="233" spans="11:33" ht="24" customHeight="1">
      <c r="P233" t="s">
        <v>55</v>
      </c>
      <c r="Q233" s="49">
        <v>275.00464741566014</v>
      </c>
      <c r="R233" s="49">
        <v>225.38438457413892</v>
      </c>
      <c r="S233" s="49">
        <v>237.34829535259041</v>
      </c>
      <c r="T233" s="49">
        <v>247.12560309606499</v>
      </c>
      <c r="W233" t="s">
        <v>55</v>
      </c>
      <c r="X233" s="49">
        <v>275.00464741566014</v>
      </c>
      <c r="Y233" s="49">
        <v>355.39364812568977</v>
      </c>
      <c r="Z233" s="49">
        <v>336.01110605541908</v>
      </c>
      <c r="AA233" s="49">
        <v>320.1710448763265</v>
      </c>
      <c r="AC233" t="s">
        <v>55</v>
      </c>
      <c r="AD233" s="49">
        <v>275.00464741566014</v>
      </c>
      <c r="AE233" s="49">
        <v>298.42417366284138</v>
      </c>
      <c r="AF233" s="49">
        <v>292.77750622398162</v>
      </c>
      <c r="AG233" s="49">
        <v>288.16286087120722</v>
      </c>
    </row>
    <row r="252" spans="1:28" s="2" customFormat="1" ht="32.1">
      <c r="A252" s="1" t="s">
        <v>77</v>
      </c>
    </row>
    <row r="254" spans="1:28" ht="24" customHeight="1">
      <c r="P254" t="s">
        <v>78</v>
      </c>
      <c r="T254" t="s">
        <v>79</v>
      </c>
      <c r="X254" t="s">
        <v>44</v>
      </c>
    </row>
    <row r="255" spans="1:28" ht="24" customHeight="1" thickBot="1">
      <c r="N255" t="s">
        <v>80</v>
      </c>
      <c r="P255" t="s">
        <v>81</v>
      </c>
      <c r="T255" t="s">
        <v>82</v>
      </c>
      <c r="Y255" t="s">
        <v>83</v>
      </c>
      <c r="Z255" t="s">
        <v>84</v>
      </c>
      <c r="AA255" t="s">
        <v>85</v>
      </c>
      <c r="AB255" t="s">
        <v>86</v>
      </c>
    </row>
    <row r="256" spans="1:28" ht="24" customHeight="1">
      <c r="N256" s="58" cm="1">
        <f t="array" ref="N256:N258">N273:N275</f>
        <v>-1.383269757936233</v>
      </c>
      <c r="P256" s="15">
        <v>0</v>
      </c>
      <c r="Q256" s="16">
        <f>-N258</f>
        <v>-0.97600726460589093</v>
      </c>
      <c r="R256" s="17">
        <f>N257</f>
        <v>0.36602540378443882</v>
      </c>
      <c r="T256" s="57" cm="1">
        <f t="array" ref="T256:V258">_xlfn.ANCHORARRAY(P311)</f>
        <v>1.0000000000000002</v>
      </c>
      <c r="U256" s="28">
        <v>-1.0689266115539385E-18</v>
      </c>
      <c r="V256" s="29">
        <v>0</v>
      </c>
      <c r="X256" t="s">
        <v>45</v>
      </c>
      <c r="Y256" s="45" cm="1">
        <f t="array" ref="Y256:AB258">Q221:T223</f>
        <v>1.3832697579362332</v>
      </c>
      <c r="Z256" s="45">
        <v>-0.50299166668404671</v>
      </c>
      <c r="AA256" s="45">
        <v>-1.4461223789941873</v>
      </c>
      <c r="AB256" s="45">
        <v>-8.9911680774753098</v>
      </c>
    </row>
    <row r="257" spans="1:28" ht="24" customHeight="1">
      <c r="N257" s="59">
        <v>0.36602540378443882</v>
      </c>
      <c r="P257" s="18">
        <f>N258</f>
        <v>0.97600726460589093</v>
      </c>
      <c r="Q257">
        <v>0</v>
      </c>
      <c r="R257" s="19">
        <f>-N256</f>
        <v>1.383269757936233</v>
      </c>
      <c r="T257" s="30">
        <v>2.1252937862866958E-34</v>
      </c>
      <c r="U257">
        <v>1</v>
      </c>
      <c r="V257" s="31">
        <v>-3.2526065174565133E-19</v>
      </c>
      <c r="X257" t="s">
        <v>46</v>
      </c>
      <c r="Y257" s="46">
        <v>-0.36602540378443882</v>
      </c>
      <c r="Z257" s="46">
        <v>0.12996712698184262</v>
      </c>
      <c r="AA257" s="46">
        <v>0.37796339236498322</v>
      </c>
      <c r="AB257" s="46">
        <v>2.3619335154301089</v>
      </c>
    </row>
    <row r="258" spans="1:28" ht="24" customHeight="1" thickBot="1">
      <c r="N258" s="60">
        <v>0.97600726460589093</v>
      </c>
      <c r="P258" s="20">
        <f>-N257</f>
        <v>-0.36602540378443882</v>
      </c>
      <c r="Q258" s="21">
        <f>N256</f>
        <v>-1.383269757936233</v>
      </c>
      <c r="R258" s="22">
        <v>0</v>
      </c>
      <c r="T258" s="32">
        <v>3.4694469519536142E-18</v>
      </c>
      <c r="U258" s="33">
        <v>-1.865818340816697E-20</v>
      </c>
      <c r="V258" s="34">
        <v>1</v>
      </c>
      <c r="X258" t="s">
        <v>47</v>
      </c>
      <c r="Y258" s="47">
        <v>-0.97600726460589093</v>
      </c>
      <c r="Z258" s="47">
        <v>1.023992735394109</v>
      </c>
      <c r="AA258" s="47">
        <v>2.0239927353941094</v>
      </c>
      <c r="AB258" s="47">
        <v>10.02399273539411</v>
      </c>
    </row>
    <row r="259" spans="1:28" ht="24" customHeight="1">
      <c r="I259" t="s">
        <v>41</v>
      </c>
    </row>
    <row r="260" spans="1:28" ht="24" customHeight="1">
      <c r="J260" t="s">
        <v>45</v>
      </c>
      <c r="K260" t="s">
        <v>46</v>
      </c>
      <c r="L260" t="s">
        <v>47</v>
      </c>
      <c r="Y260" t="s">
        <v>87</v>
      </c>
    </row>
    <row r="261" spans="1:28" ht="24" customHeight="1">
      <c r="I261" t="s">
        <v>88</v>
      </c>
      <c r="J261" s="51" cm="1">
        <f t="array" ref="J261:L261">TRANSPOSE(R209:R211)</f>
        <v>-1.8862614246202796</v>
      </c>
      <c r="K261" s="52">
        <v>0.49599253076628136</v>
      </c>
      <c r="L261" s="53">
        <v>2</v>
      </c>
      <c r="P261" s="54" cm="1">
        <f t="array" ref="P261:R261">MMULT(J261:L261,P256:R258)</f>
        <v>-0.24795849435072614</v>
      </c>
      <c r="Q261" s="55">
        <v>-0.92553466249721583</v>
      </c>
      <c r="R261" s="56">
        <v>-4.3281316183949592E-3</v>
      </c>
      <c r="T261" s="54" cm="1">
        <f t="array" ref="T261:V261">MMULT(_xlfn.ANCHORARRAY(P261),_xlfn.ANCHORARRAY(T256))</f>
        <v>-0.2479584943507262</v>
      </c>
      <c r="U261" s="55">
        <v>-0.92553466249721583</v>
      </c>
      <c r="V261" s="56">
        <v>-4.3281316183949592E-3</v>
      </c>
      <c r="Y261" s="68" cm="1">
        <f t="array" ref="Y261:AB261">MMULT(_xlfn.ANCHORARRAY(T261),_xlfn.ANCHORARRAY(Y256))</f>
        <v>-2.0122792321330962E-16</v>
      </c>
      <c r="Z261" s="68">
        <v>6.3317406873153459E-17</v>
      </c>
      <c r="AA261" s="68">
        <v>4.6317116808580749E-16</v>
      </c>
      <c r="AB261" s="68">
        <v>2.1302404284995191E-15</v>
      </c>
    </row>
    <row r="264" spans="1:28" s="69" customFormat="1" ht="24" customHeight="1">
      <c r="A264" s="69" t="s">
        <v>89</v>
      </c>
    </row>
    <row r="265" spans="1:28" ht="24" customHeight="1">
      <c r="L265" t="s">
        <v>69</v>
      </c>
    </row>
    <row r="266" spans="1:28" ht="24" customHeight="1">
      <c r="M266" t="s">
        <v>22</v>
      </c>
      <c r="N266" t="s">
        <v>23</v>
      </c>
    </row>
    <row r="267" spans="1:28" ht="24" customHeight="1">
      <c r="M267" s="37" cm="1">
        <f t="array" ref="M267:M269">OL</f>
        <v>-1</v>
      </c>
      <c r="N267" s="37" cm="1">
        <f t="array" ref="N267:N269">OR</f>
        <v>0</v>
      </c>
    </row>
    <row r="268" spans="1:28" ht="24" customHeight="1">
      <c r="M268" s="38">
        <v>-1</v>
      </c>
      <c r="N268" s="38">
        <v>0</v>
      </c>
    </row>
    <row r="269" spans="1:28" ht="24" customHeight="1">
      <c r="M269" s="39">
        <v>-1</v>
      </c>
      <c r="N269" s="39">
        <v>0</v>
      </c>
    </row>
    <row r="270" spans="1:28" ht="24" customHeight="1">
      <c r="M270">
        <v>1</v>
      </c>
      <c r="N270">
        <v>1</v>
      </c>
    </row>
    <row r="271" spans="1:28" ht="24" customHeight="1">
      <c r="L271" t="s">
        <v>41</v>
      </c>
    </row>
    <row r="272" spans="1:28" ht="24" customHeight="1" thickBot="1">
      <c r="G272" t="s">
        <v>40</v>
      </c>
      <c r="N272" t="s">
        <v>80</v>
      </c>
    </row>
    <row r="273" spans="1:18" ht="24" customHeight="1">
      <c r="G273" s="27" cm="1">
        <f t="array" ref="G273:J276">_xlfn.ANCHORARRAY(K68)</f>
        <v>-0.86589350392075415</v>
      </c>
      <c r="H273" s="28">
        <v>-1.7452406437283512E-2</v>
      </c>
      <c r="I273" s="28">
        <v>-0.49992384757819558</v>
      </c>
      <c r="J273" s="29">
        <v>-1.383269757936233</v>
      </c>
      <c r="M273" s="61" cm="1">
        <f t="array" ref="M273:N276">MMULT(_xlfn.ANCHORARRAY(G273),M267:N270)</f>
        <v>2.2204460492503131E-16</v>
      </c>
      <c r="N273" s="58">
        <v>-1.383269757936233</v>
      </c>
    </row>
    <row r="274" spans="1:18" ht="24" customHeight="1">
      <c r="G274" s="30">
        <v>-0.49999999999999994</v>
      </c>
      <c r="H274">
        <v>6.1248092943239885E-17</v>
      </c>
      <c r="I274">
        <v>0.86602540378443871</v>
      </c>
      <c r="J274" s="31">
        <v>0.36602540378443882</v>
      </c>
      <c r="M274" s="62">
        <v>0</v>
      </c>
      <c r="N274" s="59">
        <v>0.36602540378443882</v>
      </c>
    </row>
    <row r="275" spans="1:18" ht="24" customHeight="1" thickBot="1">
      <c r="G275" s="30">
        <v>-1.5114227331858559E-2</v>
      </c>
      <c r="H275">
        <v>0.99984769515639127</v>
      </c>
      <c r="I275">
        <v>-8.7262032186418079E-3</v>
      </c>
      <c r="J275" s="31">
        <v>0.97600726460589093</v>
      </c>
      <c r="M275" s="63">
        <v>0</v>
      </c>
      <c r="N275" s="60">
        <v>0.97600726460589093</v>
      </c>
    </row>
    <row r="276" spans="1:18" ht="24" customHeight="1" thickBot="1">
      <c r="G276" s="32">
        <v>0</v>
      </c>
      <c r="H276" s="33">
        <v>0</v>
      </c>
      <c r="I276" s="33">
        <v>0</v>
      </c>
      <c r="J276" s="34">
        <v>1</v>
      </c>
      <c r="M276">
        <v>1</v>
      </c>
      <c r="N276">
        <v>1</v>
      </c>
    </row>
    <row r="278" spans="1:18" s="69" customFormat="1" ht="24" customHeight="1">
      <c r="A278" s="69" t="s">
        <v>90</v>
      </c>
    </row>
    <row r="279" spans="1:18" ht="24" customHeight="1">
      <c r="L279" t="s">
        <v>91</v>
      </c>
    </row>
    <row r="280" spans="1:18" ht="24" customHeight="1">
      <c r="L280" t="s">
        <v>38</v>
      </c>
    </row>
    <row r="281" spans="1:18" ht="24" customHeight="1">
      <c r="I281" t="s">
        <v>33</v>
      </c>
      <c r="J281" s="23">
        <f>-W68</f>
        <v>-90</v>
      </c>
      <c r="L281" s="4">
        <v>1</v>
      </c>
      <c r="M281" s="4">
        <v>0</v>
      </c>
      <c r="N281" s="4">
        <v>0</v>
      </c>
    </row>
    <row r="282" spans="1:18" ht="24" customHeight="1">
      <c r="I282" t="s">
        <v>34</v>
      </c>
      <c r="J282" s="23">
        <f>J281/180*PI()</f>
        <v>-1.5707963267948966</v>
      </c>
      <c r="L282" s="4">
        <v>0</v>
      </c>
      <c r="M282" s="3">
        <f>COS(J282)</f>
        <v>6.1257422745431001E-17</v>
      </c>
      <c r="N282" s="3">
        <f>-SIN(J282)</f>
        <v>1</v>
      </c>
    </row>
    <row r="283" spans="1:18" ht="24" customHeight="1">
      <c r="L283" s="4">
        <v>0</v>
      </c>
      <c r="M283" s="3">
        <f>SIN(J282)</f>
        <v>-1</v>
      </c>
      <c r="N283" s="3">
        <f>COS(J282)</f>
        <v>6.1257422745431001E-17</v>
      </c>
    </row>
    <row r="285" spans="1:18" ht="24" customHeight="1">
      <c r="L285" t="s">
        <v>92</v>
      </c>
    </row>
    <row r="286" spans="1:18" ht="24" customHeight="1">
      <c r="L286" t="s">
        <v>35</v>
      </c>
    </row>
    <row r="287" spans="1:18" ht="24" customHeight="1">
      <c r="I287" t="s">
        <v>33</v>
      </c>
      <c r="J287" s="23">
        <f>-W62</f>
        <v>-1</v>
      </c>
      <c r="L287" s="3">
        <f>COS(J288)</f>
        <v>0.99984769515639127</v>
      </c>
      <c r="M287" s="3">
        <f>-SIN(J288)</f>
        <v>1.7452406437283512E-2</v>
      </c>
      <c r="N287" s="4">
        <v>0</v>
      </c>
      <c r="P287" s="15" cm="1">
        <f t="array" ref="P287:R289">MMULT(L287:N289,L281:N283)</f>
        <v>0.99984769515639127</v>
      </c>
      <c r="Q287" s="16">
        <v>1.0690894390537575E-18</v>
      </c>
      <c r="R287" s="17">
        <v>1.7452406437283512E-2</v>
      </c>
    </row>
    <row r="288" spans="1:18" ht="24" customHeight="1">
      <c r="I288" t="s">
        <v>34</v>
      </c>
      <c r="J288" s="23">
        <f>J287/180*PI()</f>
        <v>-1.7453292519943295E-2</v>
      </c>
      <c r="L288" s="3">
        <f>SIN(J288)</f>
        <v>-1.7452406437283512E-2</v>
      </c>
      <c r="M288" s="3">
        <f>COS(J288)</f>
        <v>0.99984769515639127</v>
      </c>
      <c r="N288" s="4">
        <v>0</v>
      </c>
      <c r="P288" s="18">
        <v>-1.7452406437283512E-2</v>
      </c>
      <c r="Q288">
        <v>6.1248092943239885E-17</v>
      </c>
      <c r="R288" s="19">
        <v>0.99984769515639127</v>
      </c>
    </row>
    <row r="289" spans="9:18" ht="24" customHeight="1">
      <c r="L289" s="4">
        <v>0</v>
      </c>
      <c r="M289" s="4">
        <v>0</v>
      </c>
      <c r="N289" s="4">
        <v>1</v>
      </c>
      <c r="P289" s="20">
        <v>0</v>
      </c>
      <c r="Q289" s="21">
        <v>-1</v>
      </c>
      <c r="R289" s="22">
        <v>6.1257422745431001E-17</v>
      </c>
    </row>
    <row r="291" spans="9:18" ht="24" customHeight="1">
      <c r="L291" t="s">
        <v>93</v>
      </c>
    </row>
    <row r="292" spans="9:18" ht="24" customHeight="1">
      <c r="L292" t="s">
        <v>30</v>
      </c>
    </row>
    <row r="293" spans="9:18" ht="24" customHeight="1">
      <c r="I293" t="s">
        <v>33</v>
      </c>
      <c r="J293" s="23">
        <f>-W56</f>
        <v>-150</v>
      </c>
      <c r="L293" s="3">
        <f>COS(J294)</f>
        <v>-0.86602540378443871</v>
      </c>
      <c r="M293" s="4">
        <v>0</v>
      </c>
      <c r="N293" s="3">
        <f>-SIN(J294)</f>
        <v>0.49999999999999994</v>
      </c>
      <c r="P293" s="15" cm="1">
        <f t="array" ref="P293:R295">MMULT(L293:N295,_xlfn.ANCHORARRAY(P287))</f>
        <v>-0.86589350392075415</v>
      </c>
      <c r="Q293" s="16">
        <v>-0.49999999999999994</v>
      </c>
      <c r="R293" s="17">
        <v>-1.5114227331858559E-2</v>
      </c>
    </row>
    <row r="294" spans="9:18" ht="24" customHeight="1">
      <c r="I294" t="s">
        <v>34</v>
      </c>
      <c r="J294" s="23">
        <f>J293/180*PI()</f>
        <v>-2.6179938779914944</v>
      </c>
      <c r="L294" s="4">
        <v>0</v>
      </c>
      <c r="M294" s="4">
        <v>1</v>
      </c>
      <c r="N294" s="4">
        <v>0</v>
      </c>
      <c r="P294" s="18">
        <v>-1.7452406437283512E-2</v>
      </c>
      <c r="Q294">
        <v>6.1248092943239885E-17</v>
      </c>
      <c r="R294" s="19">
        <v>0.99984769515639127</v>
      </c>
    </row>
    <row r="295" spans="9:18" ht="24" customHeight="1">
      <c r="L295" s="3">
        <f>SIN(J294)</f>
        <v>-0.49999999999999994</v>
      </c>
      <c r="M295" s="4">
        <v>0</v>
      </c>
      <c r="N295" s="3">
        <f>COS(J294)</f>
        <v>-0.86602540378443871</v>
      </c>
      <c r="P295" s="20">
        <v>-0.49992384757819558</v>
      </c>
      <c r="Q295" s="21">
        <v>0.86602540378443871</v>
      </c>
      <c r="R295" s="22">
        <v>-8.7262032186418079E-3</v>
      </c>
    </row>
    <row r="297" spans="9:18" ht="24" customHeight="1">
      <c r="L297" t="s">
        <v>31</v>
      </c>
    </row>
    <row r="298" spans="9:18" ht="24" customHeight="1">
      <c r="L298" t="s">
        <v>30</v>
      </c>
    </row>
    <row r="299" spans="9:18" ht="24" customHeight="1">
      <c r="I299" t="s">
        <v>33</v>
      </c>
      <c r="J299" s="23">
        <f>D56</f>
        <v>150</v>
      </c>
      <c r="L299" s="3">
        <f>COS(J300)</f>
        <v>-0.86602540378443871</v>
      </c>
      <c r="M299" s="4">
        <v>0</v>
      </c>
      <c r="N299" s="3">
        <f>-SIN(J300)</f>
        <v>-0.49999999999999994</v>
      </c>
      <c r="P299" s="15" cm="1">
        <f t="array" ref="P299:R301">MMULT(L299:N301,_xlfn.ANCHORARRAY(P293))</f>
        <v>0.99984769515639138</v>
      </c>
      <c r="Q299" s="16">
        <v>0</v>
      </c>
      <c r="R299" s="17">
        <v>1.7452406437283512E-2</v>
      </c>
    </row>
    <row r="300" spans="9:18" ht="24" customHeight="1">
      <c r="I300" t="s">
        <v>34</v>
      </c>
      <c r="J300" s="23">
        <f>J299/180*PI()</f>
        <v>2.6179938779914944</v>
      </c>
      <c r="L300" s="4">
        <v>0</v>
      </c>
      <c r="M300" s="4">
        <v>1</v>
      </c>
      <c r="N300" s="4">
        <v>0</v>
      </c>
      <c r="P300" s="18">
        <v>-1.7452406437283512E-2</v>
      </c>
      <c r="Q300">
        <v>6.1248092943239885E-17</v>
      </c>
      <c r="R300" s="19">
        <v>0.99984769515639127</v>
      </c>
    </row>
    <row r="301" spans="9:18" ht="24" customHeight="1">
      <c r="L301" s="3">
        <f>SIN(J300)</f>
        <v>0.49999999999999994</v>
      </c>
      <c r="M301" s="4">
        <v>0</v>
      </c>
      <c r="N301" s="3">
        <f>COS(J300)</f>
        <v>-0.86602540378443871</v>
      </c>
      <c r="P301" s="20">
        <v>0</v>
      </c>
      <c r="Q301" s="21">
        <v>-1</v>
      </c>
      <c r="R301" s="22">
        <v>6.1582683397176652E-17</v>
      </c>
    </row>
    <row r="303" spans="9:18" ht="24" customHeight="1">
      <c r="L303" t="s">
        <v>36</v>
      </c>
    </row>
    <row r="304" spans="9:18" ht="24" customHeight="1">
      <c r="L304" t="s">
        <v>35</v>
      </c>
    </row>
    <row r="305" spans="1:28" ht="24" customHeight="1">
      <c r="I305" t="s">
        <v>33</v>
      </c>
      <c r="J305" s="23">
        <f>D62</f>
        <v>1</v>
      </c>
      <c r="L305" s="3">
        <f>COS(J306)</f>
        <v>0.99984769515639127</v>
      </c>
      <c r="M305" s="3">
        <f>-SIN(J306)</f>
        <v>-1.7452406437283512E-2</v>
      </c>
      <c r="N305" s="4">
        <v>0</v>
      </c>
      <c r="P305" s="15" cm="1">
        <f t="array" ref="P305:R307">MMULT(L305:N307,_xlfn.ANCHORARRAY(P299))</f>
        <v>1.0000000000000002</v>
      </c>
      <c r="Q305" s="16">
        <v>-1.0689266115539385E-18</v>
      </c>
      <c r="R305" s="17">
        <v>0</v>
      </c>
    </row>
    <row r="306" spans="1:28" ht="24" customHeight="1">
      <c r="I306" t="s">
        <v>34</v>
      </c>
      <c r="J306" s="23">
        <f>J305/180*PI()</f>
        <v>1.7453292519943295E-2</v>
      </c>
      <c r="L306" s="3">
        <f>SIN(J306)</f>
        <v>1.7452406437283512E-2</v>
      </c>
      <c r="M306" s="3">
        <f>COS(J306)</f>
        <v>0.99984769515639127</v>
      </c>
      <c r="N306" s="4">
        <v>0</v>
      </c>
      <c r="P306" s="18">
        <v>3.4694469519536142E-18</v>
      </c>
      <c r="Q306">
        <v>6.1238764562022834E-17</v>
      </c>
      <c r="R306" s="19">
        <v>1</v>
      </c>
    </row>
    <row r="307" spans="1:28" ht="24" customHeight="1">
      <c r="L307" s="4">
        <v>0</v>
      </c>
      <c r="M307" s="4">
        <v>0</v>
      </c>
      <c r="N307" s="4">
        <v>1</v>
      </c>
      <c r="P307" s="20">
        <v>0</v>
      </c>
      <c r="Q307" s="21">
        <v>-1</v>
      </c>
      <c r="R307" s="22">
        <v>6.1582683397176652E-17</v>
      </c>
    </row>
    <row r="309" spans="1:28" ht="24" customHeight="1">
      <c r="L309" t="s">
        <v>39</v>
      </c>
      <c r="P309" t="s">
        <v>79</v>
      </c>
    </row>
    <row r="310" spans="1:28" ht="24" customHeight="1" thickBot="1">
      <c r="L310" t="s">
        <v>38</v>
      </c>
      <c r="P310" t="s">
        <v>82</v>
      </c>
    </row>
    <row r="311" spans="1:28" ht="24" customHeight="1">
      <c r="I311" t="s">
        <v>33</v>
      </c>
      <c r="J311" s="23">
        <f>D68</f>
        <v>90</v>
      </c>
      <c r="L311" s="4">
        <v>1</v>
      </c>
      <c r="M311" s="4">
        <v>0</v>
      </c>
      <c r="N311" s="4">
        <v>0</v>
      </c>
      <c r="P311" s="27" cm="1">
        <f t="array" ref="P311:R313">MMULT(L311:N313,_xlfn.ANCHORARRAY(P305))</f>
        <v>1.0000000000000002</v>
      </c>
      <c r="Q311" s="28">
        <v>-1.0689266115539385E-18</v>
      </c>
      <c r="R311" s="29">
        <v>0</v>
      </c>
    </row>
    <row r="312" spans="1:28" ht="24" customHeight="1">
      <c r="I312" t="s">
        <v>34</v>
      </c>
      <c r="J312" s="23">
        <f>J311/180*PI()</f>
        <v>1.5707963267948966</v>
      </c>
      <c r="L312" s="4">
        <v>0</v>
      </c>
      <c r="M312" s="3">
        <f>COS(J312)</f>
        <v>6.1257422745431001E-17</v>
      </c>
      <c r="N312" s="3">
        <f>-SIN(J312)</f>
        <v>-1</v>
      </c>
      <c r="P312" s="30">
        <v>2.1252937862866958E-34</v>
      </c>
      <c r="Q312">
        <v>1</v>
      </c>
      <c r="R312" s="31">
        <v>-3.2526065174565133E-19</v>
      </c>
    </row>
    <row r="313" spans="1:28" ht="24" customHeight="1" thickBot="1">
      <c r="L313" s="4">
        <v>0</v>
      </c>
      <c r="M313" s="3">
        <f>SIN(J312)</f>
        <v>1</v>
      </c>
      <c r="N313" s="3">
        <f>COS(J312)</f>
        <v>6.1257422745431001E-17</v>
      </c>
      <c r="P313" s="32">
        <v>3.4694469519536142E-18</v>
      </c>
      <c r="Q313" s="33">
        <v>-1.865818340816697E-20</v>
      </c>
      <c r="R313" s="34">
        <v>1</v>
      </c>
    </row>
    <row r="315" spans="1:28" s="2" customFormat="1" ht="32.1">
      <c r="A315" s="1" t="s">
        <v>94</v>
      </c>
    </row>
    <row r="317" spans="1:28" s="69" customFormat="1" ht="24" customHeight="1">
      <c r="A317" s="69" t="s">
        <v>95</v>
      </c>
    </row>
    <row r="318" spans="1:28" ht="24" customHeight="1">
      <c r="P318" t="s">
        <v>78</v>
      </c>
      <c r="T318" t="s">
        <v>79</v>
      </c>
      <c r="X318" t="s">
        <v>44</v>
      </c>
    </row>
    <row r="319" spans="1:28" ht="24" customHeight="1" thickBot="1">
      <c r="N319" t="s">
        <v>80</v>
      </c>
      <c r="P319" t="s">
        <v>81</v>
      </c>
      <c r="T319" t="s">
        <v>82</v>
      </c>
      <c r="Y319" t="s">
        <v>83</v>
      </c>
      <c r="Z319" t="s">
        <v>84</v>
      </c>
      <c r="AA319" t="s">
        <v>85</v>
      </c>
      <c r="AB319" t="s">
        <v>86</v>
      </c>
    </row>
    <row r="320" spans="1:28" ht="24" customHeight="1">
      <c r="N320" s="58" cm="1">
        <f t="array" ref="N320:N322">N273:N275</f>
        <v>-1.383269757936233</v>
      </c>
      <c r="P320" s="15">
        <v>0</v>
      </c>
      <c r="Q320" s="16">
        <f>-N322</f>
        <v>-0.97600726460589093</v>
      </c>
      <c r="R320" s="17">
        <f>N321</f>
        <v>0.36602540378443882</v>
      </c>
      <c r="T320" s="50" cm="1">
        <f t="array" ref="T320:V322">_xlfn.ANCHORARRAY(T256)</f>
        <v>1.0000000000000002</v>
      </c>
      <c r="U320" s="16">
        <v>-1.0689266115539385E-18</v>
      </c>
      <c r="V320" s="17">
        <v>0</v>
      </c>
      <c r="X320" t="s">
        <v>45</v>
      </c>
      <c r="Y320" s="45" cm="1">
        <f t="array" ref="Y320:AB322">_xlfn.ANCHORARRAY(Y256)</f>
        <v>1.3832697579362332</v>
      </c>
      <c r="Z320" s="45">
        <v>-0.50299166668404671</v>
      </c>
      <c r="AA320" s="45">
        <v>-1.4461223789941873</v>
      </c>
      <c r="AB320" s="45">
        <v>-8.9911680774753098</v>
      </c>
    </row>
    <row r="321" spans="1:28" ht="24" customHeight="1">
      <c r="N321" s="59">
        <v>0.36602540378443882</v>
      </c>
      <c r="P321" s="18">
        <f>N322</f>
        <v>0.97600726460589093</v>
      </c>
      <c r="Q321">
        <v>0</v>
      </c>
      <c r="R321" s="19">
        <f>-N320</f>
        <v>1.383269757936233</v>
      </c>
      <c r="T321" s="18">
        <v>2.1252937862866958E-34</v>
      </c>
      <c r="U321">
        <v>1</v>
      </c>
      <c r="V321" s="19">
        <v>-3.2526065174565133E-19</v>
      </c>
      <c r="X321" t="s">
        <v>46</v>
      </c>
      <c r="Y321" s="46">
        <v>-0.36602540378443882</v>
      </c>
      <c r="Z321" s="46">
        <v>0.12996712698184262</v>
      </c>
      <c r="AA321" s="46">
        <v>0.37796339236498322</v>
      </c>
      <c r="AB321" s="46">
        <v>2.3619335154301089</v>
      </c>
    </row>
    <row r="322" spans="1:28" ht="24" customHeight="1" thickBot="1">
      <c r="N322" s="60">
        <v>0.97600726460589093</v>
      </c>
      <c r="P322" s="20">
        <f>-N321</f>
        <v>-0.36602540378443882</v>
      </c>
      <c r="Q322" s="21">
        <f>N320</f>
        <v>-1.383269757936233</v>
      </c>
      <c r="R322" s="22">
        <v>0</v>
      </c>
      <c r="T322" s="20">
        <v>3.4694469519536142E-18</v>
      </c>
      <c r="U322" s="21">
        <v>-1.865818340816697E-20</v>
      </c>
      <c r="V322" s="22">
        <v>1</v>
      </c>
      <c r="X322" t="s">
        <v>47</v>
      </c>
      <c r="Y322" s="47">
        <v>-0.97600726460589093</v>
      </c>
      <c r="Z322" s="47">
        <v>1.023992735394109</v>
      </c>
      <c r="AA322" s="47">
        <v>2.0239927353941094</v>
      </c>
      <c r="AB322" s="47">
        <v>10.02399273539411</v>
      </c>
    </row>
    <row r="323" spans="1:28" ht="24" customHeight="1">
      <c r="I323" t="s">
        <v>41</v>
      </c>
    </row>
    <row r="324" spans="1:28" ht="24" customHeight="1">
      <c r="J324" t="s">
        <v>45</v>
      </c>
      <c r="K324" t="s">
        <v>46</v>
      </c>
      <c r="L324" t="s">
        <v>47</v>
      </c>
      <c r="Y324" t="s">
        <v>87</v>
      </c>
    </row>
    <row r="325" spans="1:28" ht="24" customHeight="1">
      <c r="I325" t="s">
        <v>88</v>
      </c>
      <c r="J325" s="51" cm="1">
        <f t="array" ref="J325:L325">J261:L261</f>
        <v>-1.8862614246202796</v>
      </c>
      <c r="K325" s="52">
        <v>0.49599253076628136</v>
      </c>
      <c r="L325" s="53">
        <v>2</v>
      </c>
      <c r="P325" s="54" cm="1">
        <f t="array" ref="P325:R325">MMULT(J325:L325,P320:R322)</f>
        <v>-0.24795849435072614</v>
      </c>
      <c r="Q325" s="55">
        <v>-0.92553466249721583</v>
      </c>
      <c r="R325" s="56">
        <v>-4.3281316183949592E-3</v>
      </c>
      <c r="T325" s="54" cm="1">
        <f t="array" ref="T325:V325">MMULT(_xlfn.ANCHORARRAY(P325),T320:V322)</f>
        <v>-0.2479584943507262</v>
      </c>
      <c r="U325" s="55">
        <v>-0.92553466249721583</v>
      </c>
      <c r="V325" s="56">
        <v>-4.3281316183949592E-3</v>
      </c>
      <c r="Y325" s="68" cm="1">
        <f t="array" ref="Y325:AB325">MMULT(_xlfn.ANCHORARRAY(T325),_xlfn.ANCHORARRAY(Y320))</f>
        <v>-2.0122792321330962E-16</v>
      </c>
      <c r="Z325" s="68">
        <v>6.3317406873153459E-17</v>
      </c>
      <c r="AA325" s="68">
        <v>4.6317116808580749E-16</v>
      </c>
      <c r="AB325" s="68">
        <v>2.1302404284995191E-15</v>
      </c>
    </row>
    <row r="328" spans="1:28" s="69" customFormat="1" ht="24" customHeight="1">
      <c r="A328" s="69" t="s">
        <v>96</v>
      </c>
    </row>
    <row r="330" spans="1:28" ht="24" customHeight="1">
      <c r="T330" t="s">
        <v>97</v>
      </c>
      <c r="X330" t="s">
        <v>44</v>
      </c>
    </row>
    <row r="331" spans="1:28" ht="24" customHeight="1" thickBot="1">
      <c r="T331" t="s">
        <v>98</v>
      </c>
      <c r="Y331" t="s">
        <v>83</v>
      </c>
      <c r="Z331" t="s">
        <v>84</v>
      </c>
      <c r="AA331" t="s">
        <v>85</v>
      </c>
      <c r="AB331" t="s">
        <v>86</v>
      </c>
    </row>
    <row r="332" spans="1:28" ht="24" customHeight="1">
      <c r="T332" s="27" cm="1">
        <f t="array" ref="T332:V334">MMULT(P320:R322,T320:V322)</f>
        <v>1.2699057214975119E-18</v>
      </c>
      <c r="U332" s="28">
        <v>-0.97600726460589093</v>
      </c>
      <c r="V332" s="29">
        <v>0.36602540378443882</v>
      </c>
      <c r="X332" t="s">
        <v>45</v>
      </c>
      <c r="Y332" s="45" cm="1">
        <f t="array" ref="Y332:AB334">_xlfn.ANCHORARRAY(Y320)</f>
        <v>1.3832697579362332</v>
      </c>
      <c r="Z332" s="45">
        <v>-0.50299166668404671</v>
      </c>
      <c r="AA332" s="45">
        <v>-1.4461223789941873</v>
      </c>
      <c r="AB332" s="45">
        <v>-8.9911680774753098</v>
      </c>
    </row>
    <row r="333" spans="1:28" ht="24" customHeight="1">
      <c r="T333" s="30">
        <v>0.97600726460589116</v>
      </c>
      <c r="U333">
        <v>-1.0690894390537482E-18</v>
      </c>
      <c r="V333" s="31">
        <v>1.383269757936233</v>
      </c>
      <c r="X333" t="s">
        <v>46</v>
      </c>
      <c r="Y333" s="46">
        <v>-0.36602540378443882</v>
      </c>
      <c r="Z333" s="46">
        <v>0.12996712698184262</v>
      </c>
      <c r="AA333" s="46">
        <v>0.37796339236498322</v>
      </c>
      <c r="AB333" s="46">
        <v>2.3619335154301089</v>
      </c>
    </row>
    <row r="334" spans="1:28" ht="24" customHeight="1" thickBot="1">
      <c r="T334" s="32">
        <v>-0.36602540378443887</v>
      </c>
      <c r="U334" s="33">
        <v>-1.383269757936233</v>
      </c>
      <c r="V334" s="34">
        <v>4.4992322300638846E-19</v>
      </c>
      <c r="X334" t="s">
        <v>47</v>
      </c>
      <c r="Y334" s="47">
        <v>-0.97600726460589093</v>
      </c>
      <c r="Z334" s="47">
        <v>1.023992735394109</v>
      </c>
      <c r="AA334" s="47">
        <v>2.0239927353941094</v>
      </c>
      <c r="AB334" s="47">
        <v>10.02399273539411</v>
      </c>
    </row>
    <row r="336" spans="1:28" ht="24" customHeight="1">
      <c r="O336" t="s">
        <v>41</v>
      </c>
    </row>
    <row r="337" spans="1:33" ht="24" customHeight="1">
      <c r="P337" t="s">
        <v>45</v>
      </c>
      <c r="Q337" t="s">
        <v>46</v>
      </c>
      <c r="R337" t="s">
        <v>47</v>
      </c>
      <c r="Y337" t="s">
        <v>99</v>
      </c>
    </row>
    <row r="338" spans="1:33" ht="24" customHeight="1">
      <c r="O338" t="s">
        <v>100</v>
      </c>
      <c r="P338" s="51" cm="1">
        <f t="array" ref="P338:R338">_xlfn.ANCHORARRAY(J325)</f>
        <v>-1.8862614246202796</v>
      </c>
      <c r="Q338" s="52">
        <v>0.49599253076628136</v>
      </c>
      <c r="R338" s="53">
        <v>2</v>
      </c>
      <c r="T338" s="54" cm="1">
        <f t="array" ref="T338:V338">MMULT(_xlfn.ANCHORARRAY(P338),_xlfn.ANCHORARRAY(T332))</f>
        <v>-0.24795849435072614</v>
      </c>
      <c r="U338" s="55">
        <v>-0.92553466249721583</v>
      </c>
      <c r="V338" s="56">
        <v>-4.3281316183949583E-3</v>
      </c>
      <c r="Y338" s="68" cm="1">
        <f t="array" ref="Y338:AB338">MMULT(_xlfn.ANCHORARRAY(T338),_xlfn.ANCHORARRAY(Y332))</f>
        <v>-1.465841337200402E-16</v>
      </c>
      <c r="Z338" s="68">
        <v>3.6429192995512949E-17</v>
      </c>
      <c r="AA338" s="68">
        <v>3.5388358909926865E-16</v>
      </c>
      <c r="AB338" s="68">
        <v>1.6930901125533637E-15</v>
      </c>
    </row>
    <row r="341" spans="1:33" s="2" customFormat="1" ht="32.1">
      <c r="A341" s="1" t="s">
        <v>101</v>
      </c>
    </row>
    <row r="343" spans="1:33" s="69" customFormat="1" ht="24" customHeight="1">
      <c r="A343" s="69" t="s">
        <v>102</v>
      </c>
    </row>
    <row r="344" spans="1:33" ht="24" customHeight="1">
      <c r="AC344" t="s">
        <v>44</v>
      </c>
    </row>
    <row r="345" spans="1:33" ht="24" customHeight="1">
      <c r="AD345" t="s">
        <v>83</v>
      </c>
      <c r="AE345" t="s">
        <v>84</v>
      </c>
      <c r="AF345" t="s">
        <v>85</v>
      </c>
      <c r="AG345" t="s">
        <v>86</v>
      </c>
    </row>
    <row r="346" spans="1:33" ht="24" customHeight="1">
      <c r="AC346" t="s">
        <v>45</v>
      </c>
      <c r="AD346" s="45" cm="1">
        <f t="array" ref="AD346:AG348">Q221:T223</f>
        <v>1.3832697579362332</v>
      </c>
      <c r="AE346" s="45">
        <v>-0.50299166668404671</v>
      </c>
      <c r="AF346" s="45">
        <v>-1.4461223789941873</v>
      </c>
      <c r="AG346" s="45">
        <v>-8.9911680774753098</v>
      </c>
    </row>
    <row r="347" spans="1:33" ht="24" customHeight="1">
      <c r="AC347" t="s">
        <v>46</v>
      </c>
      <c r="AD347" s="46">
        <v>-0.36602540378443882</v>
      </c>
      <c r="AE347" s="46">
        <v>0.12996712698184262</v>
      </c>
      <c r="AF347" s="46">
        <v>0.37796339236498322</v>
      </c>
      <c r="AG347" s="46">
        <v>2.3619335154301089</v>
      </c>
    </row>
    <row r="348" spans="1:33" ht="24" customHeight="1">
      <c r="AC348" t="s">
        <v>47</v>
      </c>
      <c r="AD348" s="47">
        <v>-0.97600726460589093</v>
      </c>
      <c r="AE348" s="47">
        <v>1.023992735394109</v>
      </c>
      <c r="AF348" s="47">
        <v>2.0239927353941094</v>
      </c>
      <c r="AG348" s="47">
        <v>10.02399273539411</v>
      </c>
    </row>
    <row r="350" spans="1:33" ht="24" customHeight="1">
      <c r="X350" t="s">
        <v>103</v>
      </c>
      <c r="AC350" t="s">
        <v>53</v>
      </c>
    </row>
    <row r="351" spans="1:33" ht="24" customHeight="1">
      <c r="Y351" t="s">
        <v>104</v>
      </c>
      <c r="AD351" t="s">
        <v>105</v>
      </c>
      <c r="AE351" t="s">
        <v>106</v>
      </c>
      <c r="AF351" t="s">
        <v>107</v>
      </c>
      <c r="AG351" t="s">
        <v>108</v>
      </c>
    </row>
    <row r="352" spans="1:33" ht="24" customHeight="1">
      <c r="Y352" s="15" cm="1">
        <f t="array" ref="Y352:AA354">AE74:AG76</f>
        <v>100</v>
      </c>
      <c r="Z352" s="16">
        <v>0</v>
      </c>
      <c r="AA352" s="17">
        <v>300</v>
      </c>
      <c r="AC352" t="s">
        <v>54</v>
      </c>
      <c r="AD352" s="48" cm="1">
        <f t="array" ref="AD352:AG354">MMULT(_xlfn.ANCHORARRAY(Y352),_xlfn.ANCHORARRAY(AD346))</f>
        <v>-154.47520358814398</v>
      </c>
      <c r="AE352" s="48">
        <v>256.89865394982803</v>
      </c>
      <c r="AF352" s="48">
        <v>462.58558271881418</v>
      </c>
      <c r="AG352" s="48">
        <v>2108.0810128707021</v>
      </c>
    </row>
    <row r="353" spans="3:33" ht="24" customHeight="1">
      <c r="Y353" s="18">
        <v>0</v>
      </c>
      <c r="Z353">
        <v>200</v>
      </c>
      <c r="AA353" s="19">
        <v>200</v>
      </c>
      <c r="AC353" t="s">
        <v>55</v>
      </c>
      <c r="AD353" s="49">
        <v>-268.40653367806595</v>
      </c>
      <c r="AE353" s="49">
        <v>230.79197247519033</v>
      </c>
      <c r="AF353" s="49">
        <v>480.39122555181848</v>
      </c>
      <c r="AG353" s="49">
        <v>2477.1852501648436</v>
      </c>
    </row>
    <row r="354" spans="3:33" ht="24" customHeight="1">
      <c r="Y354" s="20">
        <v>0</v>
      </c>
      <c r="Z354" s="21">
        <v>0</v>
      </c>
      <c r="AA354" s="22">
        <v>1</v>
      </c>
      <c r="AD354">
        <v>-0.97600726460589093</v>
      </c>
      <c r="AE354">
        <v>1.023992735394109</v>
      </c>
      <c r="AF354">
        <v>2.0239927353941094</v>
      </c>
      <c r="AG354">
        <v>10.02399273539411</v>
      </c>
    </row>
    <row r="357" spans="3:33" ht="24" customHeight="1">
      <c r="I357" t="s">
        <v>61</v>
      </c>
      <c r="O357" t="s">
        <v>109</v>
      </c>
      <c r="T357" t="s">
        <v>97</v>
      </c>
      <c r="X357" t="s">
        <v>110</v>
      </c>
      <c r="AC357" t="s">
        <v>44</v>
      </c>
    </row>
    <row r="358" spans="3:33" ht="24" customHeight="1" thickBot="1">
      <c r="J358" t="s">
        <v>111</v>
      </c>
      <c r="P358" t="s">
        <v>112</v>
      </c>
      <c r="T358" t="s">
        <v>98</v>
      </c>
      <c r="Y358" t="s">
        <v>113</v>
      </c>
      <c r="AD358" t="s">
        <v>83</v>
      </c>
      <c r="AE358" t="s">
        <v>84</v>
      </c>
      <c r="AF358" t="s">
        <v>85</v>
      </c>
      <c r="AG358" t="s">
        <v>86</v>
      </c>
    </row>
    <row r="359" spans="3:33" ht="24" customHeight="1">
      <c r="J359" s="15" cm="1">
        <f t="array" ref="J359:L361">TRANSPOSE(L74:N76)</f>
        <v>100</v>
      </c>
      <c r="K359" s="16">
        <v>0</v>
      </c>
      <c r="L359" s="17">
        <v>0</v>
      </c>
      <c r="P359" s="67">
        <v>0.01</v>
      </c>
      <c r="Q359" s="16">
        <v>0</v>
      </c>
      <c r="R359" s="17">
        <v>0</v>
      </c>
      <c r="T359" s="27" cm="1">
        <f t="array" ref="T359:V361">_xlfn.ANCHORARRAY(T332)</f>
        <v>1.2699057214975119E-18</v>
      </c>
      <c r="U359" s="28">
        <v>-0.97600726460589093</v>
      </c>
      <c r="V359" s="29">
        <v>0.36602540378443882</v>
      </c>
      <c r="Y359" s="67">
        <v>0.01</v>
      </c>
      <c r="Z359" s="16">
        <v>0</v>
      </c>
      <c r="AA359" s="17">
        <v>-3</v>
      </c>
      <c r="AC359" t="s">
        <v>45</v>
      </c>
      <c r="AD359" s="45" cm="1">
        <f t="array" ref="AD359:AG361">MMULT(Y359:AA361,AD352:AG354)</f>
        <v>1.3832697579362327</v>
      </c>
      <c r="AE359" s="45">
        <v>-0.50299166668404638</v>
      </c>
      <c r="AF359" s="45">
        <v>-1.4461223789941862</v>
      </c>
      <c r="AG359" s="45">
        <v>-8.991168077475308</v>
      </c>
    </row>
    <row r="360" spans="3:33" ht="24" customHeight="1">
      <c r="J360" s="18">
        <v>0</v>
      </c>
      <c r="K360">
        <v>200</v>
      </c>
      <c r="L360" s="19">
        <v>0</v>
      </c>
      <c r="P360" s="18">
        <v>0</v>
      </c>
      <c r="Q360" s="66">
        <v>5.0000000000000001E-3</v>
      </c>
      <c r="R360" s="19">
        <v>0</v>
      </c>
      <c r="T360" s="30">
        <v>0.97600726460589116</v>
      </c>
      <c r="U360">
        <v>-1.0690894390537482E-18</v>
      </c>
      <c r="V360" s="31">
        <v>1.383269757936233</v>
      </c>
      <c r="Y360" s="18">
        <v>0</v>
      </c>
      <c r="Z360" s="66">
        <v>5.0000000000000001E-3</v>
      </c>
      <c r="AA360" s="19">
        <v>-1</v>
      </c>
      <c r="AC360" t="s">
        <v>46</v>
      </c>
      <c r="AD360" s="46">
        <v>-0.36602540378443893</v>
      </c>
      <c r="AE360" s="46">
        <v>0.12996712698184276</v>
      </c>
      <c r="AF360" s="46">
        <v>0.377963392364983</v>
      </c>
      <c r="AG360" s="46">
        <v>2.361933515430108</v>
      </c>
    </row>
    <row r="361" spans="3:33" ht="24" customHeight="1" thickBot="1">
      <c r="J361" s="20">
        <v>300</v>
      </c>
      <c r="K361" s="21">
        <v>200</v>
      </c>
      <c r="L361" s="22">
        <v>1</v>
      </c>
      <c r="P361" s="20">
        <v>-3</v>
      </c>
      <c r="Q361" s="21">
        <v>-1</v>
      </c>
      <c r="R361" s="22">
        <v>1</v>
      </c>
      <c r="T361" s="32">
        <v>-0.36602540378443887</v>
      </c>
      <c r="U361" s="33">
        <v>-1.383269757936233</v>
      </c>
      <c r="V361" s="34">
        <v>4.4992322300638846E-19</v>
      </c>
      <c r="Y361" s="20">
        <v>0</v>
      </c>
      <c r="Z361" s="21">
        <v>0</v>
      </c>
      <c r="AA361" s="22">
        <v>1</v>
      </c>
      <c r="AC361" t="s">
        <v>47</v>
      </c>
      <c r="AD361" s="47">
        <v>-0.97600726460589093</v>
      </c>
      <c r="AE361" s="47">
        <v>1.023992735394109</v>
      </c>
      <c r="AF361" s="47">
        <v>2.0239927353941094</v>
      </c>
      <c r="AG361" s="47">
        <v>10.02399273539411</v>
      </c>
    </row>
    <row r="363" spans="3:33" ht="24" customHeight="1">
      <c r="C363" t="s">
        <v>41</v>
      </c>
      <c r="I363" t="s">
        <v>52</v>
      </c>
      <c r="O363" t="s">
        <v>41</v>
      </c>
    </row>
    <row r="364" spans="3:33" ht="24" customHeight="1">
      <c r="D364" t="s">
        <v>45</v>
      </c>
      <c r="E364" t="s">
        <v>46</v>
      </c>
      <c r="F364" t="s">
        <v>47</v>
      </c>
      <c r="J364" t="s">
        <v>54</v>
      </c>
      <c r="K364" t="s">
        <v>55</v>
      </c>
      <c r="P364" t="s">
        <v>45</v>
      </c>
      <c r="Q364" t="s">
        <v>46</v>
      </c>
      <c r="R364" t="s">
        <v>47</v>
      </c>
      <c r="AD364" t="s">
        <v>99</v>
      </c>
    </row>
    <row r="365" spans="3:33" ht="24" customHeight="1">
      <c r="C365" t="s">
        <v>100</v>
      </c>
      <c r="D365" s="51" cm="1">
        <f t="array" ref="D365:F365">TRANSPOSE(R209:R211)</f>
        <v>-1.8862614246202796</v>
      </c>
      <c r="E365" s="52">
        <v>0.49599253076628136</v>
      </c>
      <c r="F365" s="53">
        <v>2</v>
      </c>
      <c r="I365" t="s">
        <v>114</v>
      </c>
      <c r="J365" s="64" cm="1">
        <f t="array" ref="J365:L365">MMULT(_xlfn.ANCHORARRAY(D365),_xlfn.ANCHORARRAY(J359))</f>
        <v>411.37385753797207</v>
      </c>
      <c r="K365" s="65">
        <v>499.19850615325629</v>
      </c>
      <c r="L365">
        <v>2</v>
      </c>
      <c r="O365" t="s">
        <v>100</v>
      </c>
      <c r="P365" s="51" cm="1">
        <f t="array" ref="P365:R365">MMULT(J365:L365,P359:R361)</f>
        <v>-1.8862614246202796</v>
      </c>
      <c r="Q365" s="52">
        <v>0.49599253076628136</v>
      </c>
      <c r="R365" s="53">
        <v>2</v>
      </c>
      <c r="T365" s="54" cm="1">
        <f t="array" ref="T365:V365">MMULT(_xlfn.ANCHORARRAY(P365),_xlfn.ANCHORARRAY(T359))</f>
        <v>-0.24795849435072614</v>
      </c>
      <c r="U365" s="55">
        <v>-0.92553466249721583</v>
      </c>
      <c r="V365" s="56">
        <v>-4.3281316183949583E-3</v>
      </c>
      <c r="AD365" s="68" cm="1">
        <f t="array" ref="AD365:AG365">MMULT(_xlfn.ANCHORARRAY(T365),_xlfn.ANCHORARRAY(AD359))</f>
        <v>7.5460471204991109E-17</v>
      </c>
      <c r="AE365" s="68">
        <v>-1.717376241217039E-16</v>
      </c>
      <c r="AF365" s="68">
        <v>2.9837243786801082E-16</v>
      </c>
      <c r="AG365" s="68">
        <v>2.1371793224034263E-15</v>
      </c>
    </row>
    <row r="370" spans="1:33" s="69" customFormat="1" ht="24" customHeight="1">
      <c r="A370" s="69" t="s">
        <v>115</v>
      </c>
    </row>
    <row r="372" spans="1:33" ht="24" customHeight="1">
      <c r="Y372" t="s">
        <v>116</v>
      </c>
    </row>
    <row r="373" spans="1:33" ht="24" customHeight="1" thickBot="1">
      <c r="P373" t="s">
        <v>112</v>
      </c>
      <c r="T373" t="s">
        <v>117</v>
      </c>
      <c r="Y373" t="s">
        <v>118</v>
      </c>
      <c r="AD373" t="s">
        <v>105</v>
      </c>
      <c r="AE373" t="s">
        <v>106</v>
      </c>
      <c r="AF373" t="s">
        <v>107</v>
      </c>
      <c r="AG373" t="s">
        <v>108</v>
      </c>
    </row>
    <row r="374" spans="1:33" ht="24" customHeight="1">
      <c r="P374" s="67">
        <v>0.01</v>
      </c>
      <c r="Q374" s="16">
        <v>0</v>
      </c>
      <c r="R374" s="17">
        <v>0</v>
      </c>
      <c r="T374" s="15" cm="1">
        <f t="array" ref="T374:V376">MMULT(P374:R376,_xlfn.ANCHORARRAY(T359))</f>
        <v>1.269905721497512E-20</v>
      </c>
      <c r="U374" s="16">
        <v>-9.7600726460589093E-3</v>
      </c>
      <c r="V374" s="17">
        <v>3.6602540378443882E-3</v>
      </c>
      <c r="Y374" s="27" cm="1">
        <f t="array" ref="Y374:AA376">MMULT(_xlfn.ANCHORARRAY(T374),Y359:AA361)</f>
        <v>1.2699057214975119E-22</v>
      </c>
      <c r="Z374" s="28">
        <v>-4.880036323029455E-5</v>
      </c>
      <c r="AA374" s="29">
        <v>1.3420326683903298E-2</v>
      </c>
      <c r="AC374" t="s">
        <v>54</v>
      </c>
      <c r="AD374" s="48" cm="1">
        <f t="array" ref="AD374:AG376">_xlfn.ANCHORARRAY(AD352)</f>
        <v>-154.47520358814398</v>
      </c>
      <c r="AE374" s="48">
        <v>256.89865394982803</v>
      </c>
      <c r="AF374" s="48">
        <v>462.58558271881418</v>
      </c>
      <c r="AG374" s="48">
        <v>2108.0810128707021</v>
      </c>
    </row>
    <row r="375" spans="1:33" ht="24" customHeight="1">
      <c r="P375" s="18">
        <v>0</v>
      </c>
      <c r="Q375" s="66">
        <v>5.0000000000000001E-3</v>
      </c>
      <c r="R375" s="19">
        <v>0</v>
      </c>
      <c r="T375" s="18">
        <v>4.8800363230294555E-3</v>
      </c>
      <c r="U375">
        <v>-5.3454471952687414E-21</v>
      </c>
      <c r="V375" s="19">
        <v>6.9163487896811652E-3</v>
      </c>
      <c r="Y375" s="30">
        <v>4.8800363230294557E-5</v>
      </c>
      <c r="Z375">
        <v>-2.6727235976343706E-23</v>
      </c>
      <c r="AA375" s="31">
        <v>-7.7237601794072023E-3</v>
      </c>
      <c r="AC375" t="s">
        <v>55</v>
      </c>
      <c r="AD375" s="49">
        <v>-268.40653367806595</v>
      </c>
      <c r="AE375" s="49">
        <v>230.79197247519033</v>
      </c>
      <c r="AF375" s="49">
        <v>480.39122555181848</v>
      </c>
      <c r="AG375" s="49">
        <v>2477.1852501648436</v>
      </c>
    </row>
    <row r="376" spans="1:33" ht="24" customHeight="1" thickBot="1">
      <c r="P376" s="20">
        <v>-3</v>
      </c>
      <c r="Q376" s="21">
        <v>-1</v>
      </c>
      <c r="R376" s="22">
        <v>1</v>
      </c>
      <c r="T376" s="20">
        <v>-1.3420326683903301</v>
      </c>
      <c r="U376" s="21">
        <v>1.5447520358814397</v>
      </c>
      <c r="V376" s="22">
        <v>-2.4813459692895492</v>
      </c>
      <c r="Y376" s="32">
        <v>-1.3420326683903302E-2</v>
      </c>
      <c r="Z376" s="33">
        <v>7.7237601794071988E-3</v>
      </c>
      <c r="AA376" s="34">
        <v>8.8817841970012523E-16</v>
      </c>
      <c r="AD376">
        <v>-0.97600726460589093</v>
      </c>
      <c r="AE376">
        <v>1.023992735394109</v>
      </c>
      <c r="AF376">
        <v>2.0239927353941094</v>
      </c>
      <c r="AG376">
        <v>10.02399273539411</v>
      </c>
    </row>
    <row r="378" spans="1:33" ht="24" customHeight="1">
      <c r="T378" t="s">
        <v>52</v>
      </c>
    </row>
    <row r="379" spans="1:33" ht="24" customHeight="1">
      <c r="U379" t="s">
        <v>54</v>
      </c>
      <c r="V379" t="s">
        <v>55</v>
      </c>
      <c r="AD379" t="s">
        <v>119</v>
      </c>
    </row>
    <row r="380" spans="1:33" ht="24" customHeight="1">
      <c r="T380" t="s">
        <v>114</v>
      </c>
      <c r="U380" s="64" cm="1">
        <f t="array" ref="U380:W380">_xlfn.ANCHORARRAY(J365)</f>
        <v>411.37385753797207</v>
      </c>
      <c r="V380" s="65">
        <v>499.19850615325629</v>
      </c>
      <c r="W380">
        <v>2</v>
      </c>
      <c r="Y380" s="54" cm="1">
        <f t="array" ref="Y380:AA380">MMULT(U380:W380,_xlfn.ANCHORARRAY(Y374))</f>
        <v>-2.4795849435072653E-3</v>
      </c>
      <c r="Z380" s="55">
        <v>-4.6276733124860844E-3</v>
      </c>
      <c r="AA380" s="56">
        <v>1.6650820139309999</v>
      </c>
      <c r="AD380" s="68" cm="1">
        <f t="array" ref="AD380:AG380">MMULT(_xlfn.ANCHORARRAY(Y380),AD374:AG376)</f>
        <v>1.3322676295501878E-15</v>
      </c>
      <c r="AE380" s="68">
        <v>-1.7763568394002505E-15</v>
      </c>
      <c r="AF380" s="68">
        <v>-2.6645352591003757E-15</v>
      </c>
      <c r="AG380" s="68">
        <v>-1.4210854715202004E-14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1C97D5F27A942A6ECCDFB95DF13FE" ma:contentTypeVersion="27" ma:contentTypeDescription="Create a new document." ma:contentTypeScope="" ma:versionID="3995ac26ab8c87c24c9bec2660b6b5b4">
  <xsd:schema xmlns:xsd="http://www.w3.org/2001/XMLSchema" xmlns:xs="http://www.w3.org/2001/XMLSchema" xmlns:p="http://schemas.microsoft.com/office/2006/metadata/properties" xmlns:ns1="http://schemas.microsoft.com/sharepoint/v3" xmlns:ns2="808fd839-170a-44a4-85e4-5aff044f8a2d" xmlns:ns3="9f339653-0c01-4318-ae97-7b543795deb4" targetNamespace="http://schemas.microsoft.com/office/2006/metadata/properties" ma:root="true" ma:fieldsID="554da56fc64e799ffdad86fa85e1e05c" ns1:_="" ns2:_="" ns3:_="">
    <xsd:import namespace="http://schemas.microsoft.com/sharepoint/v3"/>
    <xsd:import namespace="808fd839-170a-44a4-85e4-5aff044f8a2d"/>
    <xsd:import namespace="9f339653-0c01-4318-ae97-7b543795de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nstructor" minOccurs="0"/>
                <xsd:element ref="ns2:Program_x0020_Affilia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5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26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27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8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29" nillable="true" ma:displayName="Number of Likes" ma:internalName="LikesCount">
      <xsd:simpleType>
        <xsd:restriction base="dms:Unknown"/>
      </xsd:simpleType>
    </xsd:element>
    <xsd:element name="LikedBy" ma:index="30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fd839-170a-44a4-85e4-5aff044f8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Instructor" ma:index="10" nillable="true" ma:displayName="Instructor" ma:format="Dropdown" ma:internalName="Instructor">
      <xsd:simpleType>
        <xsd:restriction base="dms:Text">
          <xsd:maxLength value="255"/>
        </xsd:restriction>
      </xsd:simpleType>
    </xsd:element>
    <xsd:element name="Program_x0020_Affiliation" ma:index="11" nillable="true" ma:displayName="Program Affiliation" ma:default="MS-EE" ma:format="Dropdown" ma:internalName="Program_x0020_Affiliation">
      <xsd:simpleType>
        <xsd:restriction base="dms:Choice">
          <xsd:enumeration value="MS-EE"/>
          <xsd:enumeration value="MS-DS"/>
          <xsd:enumeration value="ME-EM"/>
          <xsd:enumeration value="Non-Credit"/>
          <xsd:enumeration value="MS-CS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39653-0c01-4318-ae97-7b543795de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f0b387-c937-4d03-a801-ab4615f1d031}" ma:internalName="TaxCatchAll" ma:showField="CatchAllData" ma:web="9f339653-0c01-4318-ae97-7b543795de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339653-0c01-4318-ae97-7b543795deb4" xsi:nil="true"/>
    <LikesCount xmlns="http://schemas.microsoft.com/sharepoint/v3" xsi:nil="true"/>
    <Instructor xmlns="808fd839-170a-44a4-85e4-5aff044f8a2d" xsi:nil="true"/>
    <Ratings xmlns="http://schemas.microsoft.com/sharepoint/v3" xsi:nil="true"/>
    <lcf76f155ced4ddcb4097134ff3c332f xmlns="808fd839-170a-44a4-85e4-5aff044f8a2d">
      <Terms xmlns="http://schemas.microsoft.com/office/infopath/2007/PartnerControls"/>
    </lcf76f155ced4ddcb4097134ff3c332f>
    <LikedBy xmlns="http://schemas.microsoft.com/sharepoint/v3">
      <UserInfo>
        <DisplayName/>
        <AccountId xsi:nil="true"/>
        <AccountType/>
      </UserInfo>
    </LikedBy>
    <Program_x0020_Affiliation xmlns="808fd839-170a-44a4-85e4-5aff044f8a2d">MS-EE</Program_x0020_Affiliation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AC2EE142-F3AE-4624-8928-E3360A2CD38B}"/>
</file>

<file path=customXml/itemProps2.xml><?xml version="1.0" encoding="utf-8"?>
<ds:datastoreItem xmlns:ds="http://schemas.openxmlformats.org/officeDocument/2006/customXml" ds:itemID="{43741CD1-E791-4913-8B9C-135545F8110B}"/>
</file>

<file path=customXml/itemProps3.xml><?xml version="1.0" encoding="utf-8"?>
<ds:datastoreItem xmlns:ds="http://schemas.openxmlformats.org/officeDocument/2006/customXml" ds:itemID="{C0668E8A-5ABE-42A9-A228-2825D682F516}"/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>Teal Bullick</cp:lastModifiedBy>
  <cp:revision/>
  <dcterms:created xsi:type="dcterms:W3CDTF">2025-03-12T16:42:24Z</dcterms:created>
  <dcterms:modified xsi:type="dcterms:W3CDTF">2025-07-27T03:45:58Z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0x01010055D1C97D5F27A942A6ECCDFB95DF13FE</vt:lpwstr>
  </property>
  <property fmtid="{D5CDD505-2E9C-101B-9397-08002B2CF9AE}" pid="3" name="MediaServiceImageTags">
    <vt:lpwstr/>
  </property>
</Properties>
</file>